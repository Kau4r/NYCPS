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okupData" sheetId="1" r:id="rId1"/>
    <sheet name="ChartSource" sheetId="2" state="hidden" r:id="rId2"/>
    <sheet name="Dashboard" sheetId="3" r:id="rId3"/>
    <sheet name="Data Reference" sheetId="4" r:id="rId4"/>
  </sheets>
  <calcPr calcId="124519" fullCalcOnLoad="1"/>
</workbook>
</file>

<file path=xl/sharedStrings.xml><?xml version="1.0" encoding="utf-8"?>
<sst xmlns="http://schemas.openxmlformats.org/spreadsheetml/2006/main" count="148" uniqueCount="50">
  <si>
    <t>Label</t>
  </si>
  <si>
    <t>All</t>
  </si>
  <si>
    <t xml:space="preserve">01 ONE FAMILY DWELLINGS     </t>
  </si>
  <si>
    <t>10 COOPS - ELEVATOR APARTMEN</t>
  </si>
  <si>
    <t>13 CONDOS - ELEVATOR APARTME</t>
  </si>
  <si>
    <t xml:space="preserve">02 TWO FAMILY DWELLINGS     </t>
  </si>
  <si>
    <t>09 COOPS - WALKUP APARTMENTS</t>
  </si>
  <si>
    <t xml:space="preserve">03 THREE FAMILY DWELLINGS   </t>
  </si>
  <si>
    <t>Manhattan</t>
  </si>
  <si>
    <t>Bronx</t>
  </si>
  <si>
    <t>Brooklyn</t>
  </si>
  <si>
    <t>Queens</t>
  </si>
  <si>
    <t>Staten Island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</si>
  <si>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</si>
  <si>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</si>
  <si>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</si>
  <si>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</si>
  <si>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</si>
  <si>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</si>
  <si>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</si>
  <si>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</si>
  <si>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</si>
  <si>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</si>
  <si>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</si>
  <si>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</si>
  <si>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Borough</t>
  </si>
  <si>
    <t>Median Price (USD)</t>
  </si>
  <si>
    <t>Month</t>
  </si>
  <si>
    <t>Transactions</t>
  </si>
  <si>
    <t>Building Class</t>
  </si>
  <si>
    <t>Avg Price (USD)</t>
  </si>
  <si>
    <t>Total Sales Value (USD)</t>
  </si>
  <si>
    <t>NYC Property Sales Dashboard  |  Sep 2016 – Aug 2017</t>
  </si>
  <si>
    <t>Analyzing 58,400 transactions across 5 NYC Boroughs  ·  Q1: Price Distribution by Borough  ·  Q2: Monthly Volume Trends  ·  Q3: Avg Price by Building Class  ·  Q4: Total Market Value by Borough  ·  Use the dropdown filters on each chart to explore the data</t>
  </si>
  <si>
    <t>Q1 — Median Sale Price by Borough</t>
  </si>
  <si>
    <t>Building Class:</t>
  </si>
  <si>
    <t>&lt;- change to filter chart</t>
  </si>
  <si>
    <t>Q2 — Monthly Transaction Volume</t>
  </si>
  <si>
    <t>Borough:</t>
  </si>
  <si>
    <t>Q3 — Avg Sale Price by Building Class</t>
  </si>
  <si>
    <t>Q4 — Total Sales Value by Borough</t>
  </si>
  <si>
    <t>Total Valid Sales</t>
  </si>
  <si>
    <t>Median Sale Price</t>
  </si>
  <si>
    <t>Total Market Value</t>
  </si>
  <si>
    <t>Top Borough (by value)</t>
  </si>
  <si>
    <t>Q1 Median Sale Price by Borough (All Classes)</t>
  </si>
  <si>
    <t>Median Price</t>
  </si>
  <si>
    <t>Q4 Total Sales Value by Borough (All Classes)</t>
  </si>
  <si>
    <t>Total Value</t>
  </si>
  <si>
    <t>Q2 Monthly Transactions (All Boroughs)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</si>
</sst>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9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9"/>
      <color rgb="FF1F3864"/>
      <name val="Calibri"/>
      <family val="2"/>
      <scheme val="minor"/>
    </font>
    <font>
      <b/>
      <sz val="10"/>
      <color rgb="FF1F3864"/>
      <name val="Calibri"/>
      <family val="2"/>
      <scheme val="minor"/>
    </font>
    <font>
      <i/>
      <sz val="8"/>
      <color rgb="FF888888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Median Sale Price by Borough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Median Sale Price</c:v>
          </c:tx>
          <c:spPr>
            <a:solidFill>
              <a:srgbClr val="2E75B6"/>
            </a:solidFill>
          </c:spPr>
          <c:cat>
            <c:strRef>
              <c:f>ChartSource!$A$2:$A$6</c:f>
              <c:strCache>
                <c:ptCount val="5"/>
                <c:pt idx="0">
                  <c:v>Manhattan</c:v>
                </c:pt>
                <c:pt idx="1">
                  <c:v>Bronx</c:v>
                </c:pt>
                <c:pt idx="2">
                  <c:v>Brooklyn</c:v>
                </c:pt>
                <c:pt idx="3">
                  <c:v>Queens</c:v>
                </c:pt>
                <c:pt idx="4">
                  <c:v>Staten Island</c:v>
                </c:pt>
              </c:strCache>
            </c:strRef>
          </c:cat>
          <c:val>
            <c:numRef>
              <c:f>ChartSource!$B$2:$B$6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90"/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Borough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 Price (USD)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spPr>
    <a:solidFill>
      <a:srgbClr val="F5F9FF"/>
    </a:solidFill>
    <a:ln>
      <a:solidFill>
        <a:srgbClr val="BDD7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Transaction Volume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Transactions</c:v>
          </c:tx>
          <c:spPr>
            <a:ln w="31750"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C55A11"/>
                </a:solidFill>
              </a:ln>
            </c:spPr>
          </c:marker>
          <c:cat>
            <c:strRef>
              <c:f>ChartSource!$D$2:$D$13</c:f>
              <c:strCache>
                <c:ptCount val="12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</c:strCache>
            </c:strRef>
          </c:cat>
          <c:val>
            <c:numRef>
              <c:f>ChartSource!$E$2:$E$13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Sales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solidFill>
      <a:srgbClr val="FFFBF5"/>
    </a:solidFill>
    <a:ln>
      <a:solidFill>
        <a:srgbClr val="F4B183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Sale Price by Building Class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Avg Sale Price</c:v>
          </c:tx>
          <c:spPr>
            <a:solidFill>
              <a:srgbClr val="70AD47"/>
            </a:solidFill>
          </c:spPr>
          <c:cat>
            <c:strRef>
              <c:f>ChartSource!$G$2:$G$7</c:f>
              <c:strCache>
                <c:ptCount val="6"/>
                <c:pt idx="0">
                  <c:v>01 ONE FAMILY DWELLINGS     </c:v>
                </c:pt>
                <c:pt idx="1">
                  <c:v>10 COOPS - ELEVATOR APARTMEN</c:v>
                </c:pt>
                <c:pt idx="2">
                  <c:v>13 CONDOS - ELEVATOR APARTME</c:v>
                </c:pt>
                <c:pt idx="3">
                  <c:v>02 TWO FAMILY DWELLINGS     </c:v>
                </c:pt>
                <c:pt idx="4">
                  <c:v>09 COOPS - WALKUP APARTMENTS</c:v>
                </c:pt>
                <c:pt idx="5">
                  <c:v>03 THREE FAMILY DWELLINGS   </c:v>
                </c:pt>
              </c:strCache>
            </c:strRef>
          </c:cat>
          <c:val>
            <c:numRef>
              <c:f>ChartSource!$H$2:$H$7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90"/>
        <c:axId val="50030001"/>
        <c:axId val="50030002"/>
      </c:barChart>
      <c:catAx>
        <c:axId val="5003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Building Class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Price (USD)</a:t>
                </a:r>
              </a:p>
            </c:rich>
          </c:tx>
          <c:layout/>
        </c:title>
        <c:numFmt formatCode="$#,##0" sourceLinked="0"/>
        <c:tickLblPos val="nextTo"/>
        <c:crossAx val="50030001"/>
        <c:crosses val="autoZero"/>
        <c:crossBetween val="between"/>
      </c:valAx>
    </c:plotArea>
    <c:plotVisOnly val="1"/>
  </c:chart>
  <c:spPr>
    <a:solidFill>
      <a:srgbClr val="F6FFF0"/>
    </a:solidFill>
    <a:ln>
      <a:solidFill>
        <a:srgbClr val="A9D18E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Sales Value by Borough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Sales Value</c:v>
          </c:tx>
          <c:spPr>
            <a:solidFill>
              <a:srgbClr val="7030A0"/>
            </a:solidFill>
          </c:spPr>
          <c:cat>
            <c:strRef>
              <c:f>ChartSource!$J$2:$J$6</c:f>
              <c:strCache>
                <c:ptCount val="5"/>
                <c:pt idx="0">
                  <c:v>Manhattan</c:v>
                </c:pt>
                <c:pt idx="1">
                  <c:v>Bronx</c:v>
                </c:pt>
                <c:pt idx="2">
                  <c:v>Brooklyn</c:v>
                </c:pt>
                <c:pt idx="3">
                  <c:v>Queens</c:v>
                </c:pt>
                <c:pt idx="4">
                  <c:v>Staten Island</c:v>
                </c:pt>
              </c:strCache>
            </c:strRef>
          </c:cat>
          <c:val>
            <c:numRef>
              <c:f>ChartSource!$K$2:$K$6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8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Borough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Value (USD)</a:t>
                </a:r>
              </a:p>
            </c:rich>
          </c:tx>
          <c:layout/>
        </c:title>
        <c:numFmt formatCode="$#,##0,,&quot;M&quot;" sourceLinked="0"/>
        <c:tickLblPos val="nextTo"/>
        <c:crossAx val="50040001"/>
        <c:crosses val="autoZero"/>
        <c:crossBetween val="between"/>
      </c:valAx>
    </c:plotArea>
    <c:plotVisOnly val="1"/>
  </c:chart>
  <c:spPr>
    <a:solidFill>
      <a:srgbClr val="FAF5FF"/>
    </a:solidFill>
    <a:ln>
      <a:solidFill>
        <a:srgbClr val="B39C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8</xdr:row>
      <xdr:rowOff>38100</xdr:rowOff>
    </xdr:from>
    <xdr:to>
      <xdr:col>6</xdr:col>
      <xdr:colOff>504825</xdr:colOff>
      <xdr:row>23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</xdr:colOff>
      <xdr:row>8</xdr:row>
      <xdr:rowOff>38100</xdr:rowOff>
    </xdr:from>
    <xdr:to>
      <xdr:col>17</xdr:col>
      <xdr:colOff>704850</xdr:colOff>
      <xdr:row>23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32</xdr:row>
      <xdr:rowOff>38100</xdr:rowOff>
    </xdr:from>
    <xdr:to>
      <xdr:col>6</xdr:col>
      <xdr:colOff>504825</xdr:colOff>
      <xdr:row>47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38100</xdr:colOff>
      <xdr:row>32</xdr:row>
      <xdr:rowOff>38100</xdr:rowOff>
    </xdr:from>
    <xdr:to>
      <xdr:col>17</xdr:col>
      <xdr:colOff>704850</xdr:colOff>
      <xdr:row>47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1171868.5</v>
      </c>
      <c r="C2">
        <v>6500000</v>
      </c>
      <c r="D2">
        <v>800000</v>
      </c>
      <c r="E2">
        <v>1680000</v>
      </c>
      <c r="F2">
        <v>3900000</v>
      </c>
      <c r="G2">
        <v>531000</v>
      </c>
      <c r="H2">
        <v>2505000</v>
      </c>
    </row>
    <row r="3" spans="1:8">
      <c r="A3" t="s">
        <v>9</v>
      </c>
      <c r="B3">
        <v>410000</v>
      </c>
      <c r="C3">
        <v>402100</v>
      </c>
      <c r="D3">
        <v>187250</v>
      </c>
      <c r="E3">
        <v>138000</v>
      </c>
      <c r="F3">
        <v>490000</v>
      </c>
      <c r="G3">
        <v>79950</v>
      </c>
      <c r="H3">
        <v>545000</v>
      </c>
    </row>
    <row r="4" spans="1:8">
      <c r="A4" t="s">
        <v>10</v>
      </c>
      <c r="B4">
        <v>775000</v>
      </c>
      <c r="C4">
        <v>685000</v>
      </c>
      <c r="D4">
        <v>335000</v>
      </c>
      <c r="E4">
        <v>934000</v>
      </c>
      <c r="F4">
        <v>830000</v>
      </c>
      <c r="G4">
        <v>580000</v>
      </c>
      <c r="H4">
        <v>999999</v>
      </c>
    </row>
    <row r="5" spans="1:8">
      <c r="A5" t="s">
        <v>11</v>
      </c>
      <c r="B5">
        <v>500000</v>
      </c>
      <c r="C5">
        <v>552000</v>
      </c>
      <c r="D5">
        <v>262000</v>
      </c>
      <c r="E5">
        <v>640000</v>
      </c>
      <c r="F5">
        <v>677000</v>
      </c>
      <c r="G5">
        <v>227000</v>
      </c>
      <c r="H5">
        <v>930000</v>
      </c>
    </row>
    <row r="6" spans="1:8">
      <c r="A6" t="s">
        <v>12</v>
      </c>
      <c r="B6">
        <v>470000</v>
      </c>
      <c r="C6">
        <v>470000</v>
      </c>
      <c r="D6">
        <v>206000</v>
      </c>
      <c r="E6">
        <v>240000</v>
      </c>
      <c r="F6">
        <v>599000</v>
      </c>
      <c r="G6">
        <v>145000</v>
      </c>
      <c r="H6">
        <v>455000</v>
      </c>
    </row>
    <row r="9" spans="1:8">
      <c r="A9" s="1" t="s">
        <v>0</v>
      </c>
      <c r="B9" s="2" t="s">
        <v>1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</row>
    <row r="10" spans="1:8">
      <c r="A10" t="s">
        <v>13</v>
      </c>
      <c r="B10">
        <v>5365</v>
      </c>
      <c r="C10">
        <v>1327</v>
      </c>
      <c r="D10">
        <v>459</v>
      </c>
      <c r="E10">
        <v>1413</v>
      </c>
      <c r="F10">
        <v>1586</v>
      </c>
      <c r="G10">
        <v>580</v>
      </c>
    </row>
    <row r="11" spans="1:8">
      <c r="A11" t="s">
        <v>14</v>
      </c>
      <c r="B11">
        <v>4475</v>
      </c>
      <c r="C11">
        <v>1055</v>
      </c>
      <c r="D11">
        <v>408</v>
      </c>
      <c r="E11">
        <v>1080</v>
      </c>
      <c r="F11">
        <v>1450</v>
      </c>
      <c r="G11">
        <v>482</v>
      </c>
    </row>
    <row r="12" spans="1:8">
      <c r="A12" t="s">
        <v>15</v>
      </c>
      <c r="B12">
        <v>4684</v>
      </c>
      <c r="C12">
        <v>1034</v>
      </c>
      <c r="D12">
        <v>401</v>
      </c>
      <c r="E12">
        <v>1181</v>
      </c>
      <c r="F12">
        <v>1542</v>
      </c>
      <c r="G12">
        <v>526</v>
      </c>
    </row>
    <row r="13" spans="1:8">
      <c r="A13" t="s">
        <v>16</v>
      </c>
      <c r="B13">
        <v>5279</v>
      </c>
      <c r="C13">
        <v>1243</v>
      </c>
      <c r="D13">
        <v>449</v>
      </c>
      <c r="E13">
        <v>1392</v>
      </c>
      <c r="F13">
        <v>1658</v>
      </c>
      <c r="G13">
        <v>537</v>
      </c>
    </row>
    <row r="14" spans="1:8">
      <c r="A14" t="s">
        <v>17</v>
      </c>
      <c r="B14">
        <v>4711</v>
      </c>
      <c r="C14">
        <v>1203</v>
      </c>
      <c r="D14">
        <v>360</v>
      </c>
      <c r="E14">
        <v>1217</v>
      </c>
      <c r="F14">
        <v>1432</v>
      </c>
      <c r="G14">
        <v>499</v>
      </c>
    </row>
    <row r="15" spans="1:8">
      <c r="A15" t="s">
        <v>18</v>
      </c>
      <c r="B15">
        <v>4332</v>
      </c>
      <c r="C15">
        <v>1026</v>
      </c>
      <c r="D15">
        <v>386</v>
      </c>
      <c r="E15">
        <v>1172</v>
      </c>
      <c r="F15">
        <v>1300</v>
      </c>
      <c r="G15">
        <v>448</v>
      </c>
    </row>
    <row r="16" spans="1:8">
      <c r="A16" t="s">
        <v>19</v>
      </c>
      <c r="B16">
        <v>5157</v>
      </c>
      <c r="C16">
        <v>1124</v>
      </c>
      <c r="D16">
        <v>448</v>
      </c>
      <c r="E16">
        <v>1405</v>
      </c>
      <c r="F16">
        <v>1641</v>
      </c>
      <c r="G16">
        <v>539</v>
      </c>
    </row>
    <row r="17" spans="1:8">
      <c r="A17" t="s">
        <v>20</v>
      </c>
      <c r="B17">
        <v>4370</v>
      </c>
      <c r="C17">
        <v>1013</v>
      </c>
      <c r="D17">
        <v>429</v>
      </c>
      <c r="E17">
        <v>1105</v>
      </c>
      <c r="F17">
        <v>1358</v>
      </c>
      <c r="G17">
        <v>465</v>
      </c>
    </row>
    <row r="18" spans="1:8">
      <c r="A18" t="s">
        <v>21</v>
      </c>
      <c r="B18">
        <v>5138</v>
      </c>
      <c r="C18">
        <v>1331</v>
      </c>
      <c r="D18">
        <v>433</v>
      </c>
      <c r="E18">
        <v>1311</v>
      </c>
      <c r="F18">
        <v>1572</v>
      </c>
      <c r="G18">
        <v>491</v>
      </c>
    </row>
    <row r="19" spans="1:8">
      <c r="A19" t="s">
        <v>22</v>
      </c>
      <c r="B19">
        <v>5908</v>
      </c>
      <c r="C19">
        <v>1519</v>
      </c>
      <c r="D19">
        <v>495</v>
      </c>
      <c r="E19">
        <v>1579</v>
      </c>
      <c r="F19">
        <v>1729</v>
      </c>
      <c r="G19">
        <v>586</v>
      </c>
    </row>
    <row r="20" spans="1:8">
      <c r="A20" t="s">
        <v>23</v>
      </c>
      <c r="B20">
        <v>4647</v>
      </c>
      <c r="C20">
        <v>1157</v>
      </c>
      <c r="D20">
        <v>391</v>
      </c>
      <c r="E20">
        <v>1227</v>
      </c>
      <c r="F20">
        <v>1420</v>
      </c>
      <c r="G20">
        <v>452</v>
      </c>
    </row>
    <row r="21" spans="1:8">
      <c r="A21" t="s">
        <v>24</v>
      </c>
      <c r="B21">
        <v>4334</v>
      </c>
      <c r="C21">
        <v>1248</v>
      </c>
      <c r="D21">
        <v>325</v>
      </c>
      <c r="E21">
        <v>1162</v>
      </c>
      <c r="F21">
        <v>1362</v>
      </c>
      <c r="G21">
        <v>237</v>
      </c>
    </row>
    <row r="23" spans="1:8">
      <c r="A23" s="1" t="s">
        <v>0</v>
      </c>
      <c r="B23" s="2" t="s">
        <v>1</v>
      </c>
      <c r="C23" s="2" t="s">
        <v>8</v>
      </c>
      <c r="D23" s="2" t="s">
        <v>9</v>
      </c>
      <c r="E23" s="2" t="s">
        <v>10</v>
      </c>
      <c r="F23" s="2" t="s">
        <v>11</v>
      </c>
      <c r="G23" s="2" t="s">
        <v>12</v>
      </c>
    </row>
    <row r="24" spans="1:8">
      <c r="A24" t="s">
        <v>2</v>
      </c>
      <c r="B24">
        <v>510000</v>
      </c>
      <c r="C24">
        <v>6500000</v>
      </c>
      <c r="D24">
        <v>402100</v>
      </c>
      <c r="E24">
        <v>685000</v>
      </c>
      <c r="F24">
        <v>552000</v>
      </c>
      <c r="G24">
        <v>470000</v>
      </c>
    </row>
    <row r="25" spans="1:8">
      <c r="A25" t="s">
        <v>3</v>
      </c>
      <c r="B25">
        <v>430000</v>
      </c>
      <c r="C25">
        <v>800000</v>
      </c>
      <c r="D25">
        <v>187250</v>
      </c>
      <c r="E25">
        <v>335000</v>
      </c>
      <c r="F25">
        <v>262000</v>
      </c>
      <c r="G25">
        <v>206000</v>
      </c>
    </row>
    <row r="26" spans="1:8">
      <c r="A26" t="s">
        <v>4</v>
      </c>
      <c r="B26">
        <v>1100000</v>
      </c>
      <c r="C26">
        <v>1680000</v>
      </c>
      <c r="D26">
        <v>138000</v>
      </c>
      <c r="E26">
        <v>934000</v>
      </c>
      <c r="F26">
        <v>640000</v>
      </c>
      <c r="G26">
        <v>240000</v>
      </c>
    </row>
    <row r="27" spans="1:8">
      <c r="A27" t="s">
        <v>5</v>
      </c>
      <c r="B27">
        <v>660000</v>
      </c>
      <c r="C27">
        <v>3900000</v>
      </c>
      <c r="D27">
        <v>490000</v>
      </c>
      <c r="E27">
        <v>830000</v>
      </c>
      <c r="F27">
        <v>677000</v>
      </c>
      <c r="G27">
        <v>599000</v>
      </c>
    </row>
    <row r="28" spans="1:8">
      <c r="A28" t="s">
        <v>6</v>
      </c>
      <c r="B28">
        <v>290000</v>
      </c>
      <c r="C28">
        <v>531000</v>
      </c>
      <c r="D28">
        <v>79950</v>
      </c>
      <c r="E28">
        <v>580000</v>
      </c>
      <c r="F28">
        <v>227000</v>
      </c>
      <c r="G28">
        <v>145000</v>
      </c>
    </row>
    <row r="29" spans="1:8">
      <c r="A29" t="s">
        <v>7</v>
      </c>
      <c r="B29">
        <v>800000</v>
      </c>
      <c r="C29">
        <v>2505000</v>
      </c>
      <c r="D29">
        <v>545000</v>
      </c>
      <c r="E29">
        <v>999999</v>
      </c>
      <c r="F29">
        <v>930000</v>
      </c>
      <c r="G29">
        <v>455000</v>
      </c>
    </row>
    <row r="31" spans="1:8">
      <c r="A31" s="1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</row>
    <row r="32" spans="1:8">
      <c r="A32" t="s">
        <v>8</v>
      </c>
      <c r="B32">
        <v>48196553515</v>
      </c>
      <c r="C32">
        <v>664483741</v>
      </c>
      <c r="D32">
        <v>7160604506</v>
      </c>
      <c r="E32">
        <v>17232522115</v>
      </c>
      <c r="F32">
        <v>462940157</v>
      </c>
      <c r="G32">
        <v>611656343</v>
      </c>
      <c r="H32">
        <v>180822318</v>
      </c>
    </row>
    <row r="33" spans="1:8">
      <c r="A33" t="s">
        <v>9</v>
      </c>
      <c r="B33">
        <v>4160093747</v>
      </c>
      <c r="C33">
        <v>465534039</v>
      </c>
      <c r="D33">
        <v>247056651</v>
      </c>
      <c r="E33">
        <v>67461222</v>
      </c>
      <c r="F33">
        <v>646958663</v>
      </c>
      <c r="G33">
        <v>6305227</v>
      </c>
      <c r="H33">
        <v>268367519</v>
      </c>
    </row>
    <row r="34" spans="1:8">
      <c r="A34" t="s">
        <v>10</v>
      </c>
      <c r="B34">
        <v>20066297827</v>
      </c>
      <c r="C34">
        <v>2099173968</v>
      </c>
      <c r="D34">
        <v>850368157</v>
      </c>
      <c r="E34">
        <v>3052401917</v>
      </c>
      <c r="F34">
        <v>3472255579</v>
      </c>
      <c r="G34">
        <v>332425477</v>
      </c>
      <c r="H34">
        <v>1276805720</v>
      </c>
    </row>
    <row r="35" spans="1:8">
      <c r="A35" t="s">
        <v>11</v>
      </c>
      <c r="B35">
        <v>13644275513</v>
      </c>
      <c r="C35">
        <v>3553983169</v>
      </c>
      <c r="D35">
        <v>972964910</v>
      </c>
      <c r="E35">
        <v>1179163517</v>
      </c>
      <c r="F35">
        <v>2585322401</v>
      </c>
      <c r="G35">
        <v>278169465</v>
      </c>
      <c r="H35">
        <v>596624470</v>
      </c>
    </row>
    <row r="36" spans="1:8">
      <c r="A36" t="s">
        <v>12</v>
      </c>
      <c r="B36">
        <v>3266679500</v>
      </c>
      <c r="C36">
        <v>1737555448</v>
      </c>
      <c r="D36">
        <v>11164008</v>
      </c>
      <c r="E36">
        <v>35317553</v>
      </c>
      <c r="F36">
        <v>764890195</v>
      </c>
      <c r="G36">
        <v>8219580</v>
      </c>
      <c r="H36">
        <v>18590842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2" t="s">
        <v>25</v>
      </c>
      <c r="B1" s="2" t="s">
        <v>26</v>
      </c>
      <c r="D1" s="2" t="s">
        <v>27</v>
      </c>
      <c r="E1" s="2" t="s">
        <v>28</v>
      </c>
      <c r="G1" s="2" t="s">
        <v>29</v>
      </c>
      <c r="H1" s="2" t="s">
        <v>30</v>
      </c>
      <c r="J1" s="2" t="s">
        <v>25</v>
      </c>
      <c r="K1" s="2" t="s">
        <v>31</v>
      </c>
    </row>
    <row r="2" spans="1:11">
      <c r="A2" t="s">
        <v>8</v>
      </c>
      <c r="B2">
        <f>INDEX(LookupData!$B$2:$H$6,1,MATCH(Dashboard!$F$8,LookupData!$B$1:$H$1,0))</f>
        <v>0</v>
      </c>
      <c r="D2" t="s">
        <v>13</v>
      </c>
      <c r="E2">
        <f>INDEX(LookupData!$B$10:$G$21,1,MATCH(Dashboard!$R$8,LookupData!$B$9:$G$9,0))</f>
        <v>0</v>
      </c>
      <c r="G2" t="s">
        <v>2</v>
      </c>
      <c r="H2">
        <f>INDEX(LookupData!$B$24:$G$29,1,MATCH(Dashboard!$F$32,LookupData!$B$23:$G$23,0))</f>
        <v>0</v>
      </c>
      <c r="J2" t="s">
        <v>8</v>
      </c>
      <c r="K2">
        <f>INDEX(LookupData!$B$32:$H$36,1,MATCH(Dashboard!$R$32,LookupData!$B$31:$H$31,0))</f>
        <v>0</v>
      </c>
    </row>
    <row r="3" spans="1:11">
      <c r="A3" t="s">
        <v>9</v>
      </c>
      <c r="B3">
        <f>INDEX(LookupData!$B$2:$H$6,2,MATCH(Dashboard!$F$8,LookupData!$B$1:$H$1,0))</f>
        <v>0</v>
      </c>
      <c r="D3" t="s">
        <v>14</v>
      </c>
      <c r="E3">
        <f>INDEX(LookupData!$B$10:$G$21,2,MATCH(Dashboard!$R$8,LookupData!$B$9:$G$9,0))</f>
        <v>0</v>
      </c>
      <c r="G3" t="s">
        <v>3</v>
      </c>
      <c r="H3">
        <f>INDEX(LookupData!$B$24:$G$29,2,MATCH(Dashboard!$F$32,LookupData!$B$23:$G$23,0))</f>
        <v>0</v>
      </c>
      <c r="J3" t="s">
        <v>9</v>
      </c>
      <c r="K3">
        <f>INDEX(LookupData!$B$32:$H$36,2,MATCH(Dashboard!$R$32,LookupData!$B$31:$H$31,0))</f>
        <v>0</v>
      </c>
    </row>
    <row r="4" spans="1:11">
      <c r="A4" t="s">
        <v>10</v>
      </c>
      <c r="B4">
        <f>INDEX(LookupData!$B$2:$H$6,3,MATCH(Dashboard!$F$8,LookupData!$B$1:$H$1,0))</f>
        <v>0</v>
      </c>
      <c r="D4" t="s">
        <v>15</v>
      </c>
      <c r="E4">
        <f>INDEX(LookupData!$B$10:$G$21,3,MATCH(Dashboard!$R$8,LookupData!$B$9:$G$9,0))</f>
        <v>0</v>
      </c>
      <c r="G4" t="s">
        <v>4</v>
      </c>
      <c r="H4">
        <f>INDEX(LookupData!$B$24:$G$29,3,MATCH(Dashboard!$F$32,LookupData!$B$23:$G$23,0))</f>
        <v>0</v>
      </c>
      <c r="J4" t="s">
        <v>10</v>
      </c>
      <c r="K4">
        <f>INDEX(LookupData!$B$32:$H$36,3,MATCH(Dashboard!$R$32,LookupData!$B$31:$H$31,0))</f>
        <v>0</v>
      </c>
    </row>
    <row r="5" spans="1:11">
      <c r="A5" t="s">
        <v>11</v>
      </c>
      <c r="B5">
        <f>INDEX(LookupData!$B$2:$H$6,4,MATCH(Dashboard!$F$8,LookupData!$B$1:$H$1,0))</f>
        <v>0</v>
      </c>
      <c r="D5" t="s">
        <v>16</v>
      </c>
      <c r="E5">
        <f>INDEX(LookupData!$B$10:$G$21,4,MATCH(Dashboard!$R$8,LookupData!$B$9:$G$9,0))</f>
        <v>0</v>
      </c>
      <c r="G5" t="s">
        <v>5</v>
      </c>
      <c r="H5">
        <f>INDEX(LookupData!$B$24:$G$29,4,MATCH(Dashboard!$F$32,LookupData!$B$23:$G$23,0))</f>
        <v>0</v>
      </c>
      <c r="J5" t="s">
        <v>11</v>
      </c>
      <c r="K5">
        <f>INDEX(LookupData!$B$32:$H$36,4,MATCH(Dashboard!$R$32,LookupData!$B$31:$H$31,0))</f>
        <v>0</v>
      </c>
    </row>
    <row r="6" spans="1:11">
      <c r="A6" t="s">
        <v>12</v>
      </c>
      <c r="B6">
        <f>INDEX(LookupData!$B$2:$H$6,5,MATCH(Dashboard!$F$8,LookupData!$B$1:$H$1,0))</f>
        <v>0</v>
      </c>
      <c r="D6" t="s">
        <v>17</v>
      </c>
      <c r="E6">
        <f>INDEX(LookupData!$B$10:$G$21,5,MATCH(Dashboard!$R$8,LookupData!$B$9:$G$9,0))</f>
        <v>0</v>
      </c>
      <c r="G6" t="s">
        <v>6</v>
      </c>
      <c r="H6">
        <f>INDEX(LookupData!$B$24:$G$29,5,MATCH(Dashboard!$F$32,LookupData!$B$23:$G$23,0))</f>
        <v>0</v>
      </c>
      <c r="J6" t="s">
        <v>12</v>
      </c>
      <c r="K6">
        <f>INDEX(LookupData!$B$32:$H$36,5,MATCH(Dashboard!$R$32,LookupData!$B$31:$H$31,0))</f>
        <v>0</v>
      </c>
    </row>
    <row r="7" spans="1:11">
      <c r="D7" t="s">
        <v>18</v>
      </c>
      <c r="E7">
        <f>INDEX(LookupData!$B$10:$G$21,6,MATCH(Dashboard!$R$8,LookupData!$B$9:$G$9,0))</f>
        <v>0</v>
      </c>
      <c r="G7" t="s">
        <v>7</v>
      </c>
      <c r="H7">
        <f>INDEX(LookupData!$B$24:$G$29,6,MATCH(Dashboard!$F$32,LookupData!$B$23:$G$23,0))</f>
        <v>0</v>
      </c>
    </row>
    <row r="8" spans="1:11">
      <c r="D8" t="s">
        <v>19</v>
      </c>
      <c r="E8">
        <f>INDEX(LookupData!$B$10:$G$21,7,MATCH(Dashboard!$R$8,LookupData!$B$9:$G$9,0))</f>
        <v>0</v>
      </c>
    </row>
    <row r="9" spans="1:11">
      <c r="D9" t="s">
        <v>20</v>
      </c>
      <c r="E9">
        <f>INDEX(LookupData!$B$10:$G$21,8,MATCH(Dashboard!$R$8,LookupData!$B$9:$G$9,0))</f>
        <v>0</v>
      </c>
    </row>
    <row r="10" spans="1:11">
      <c r="D10" t="s">
        <v>21</v>
      </c>
      <c r="E10">
        <f>INDEX(LookupData!$B$10:$G$21,9,MATCH(Dashboard!$R$8,LookupData!$B$9:$G$9,0))</f>
        <v>0</v>
      </c>
    </row>
    <row r="11" spans="1:11">
      <c r="D11" t="s">
        <v>22</v>
      </c>
      <c r="E11">
        <f>INDEX(LookupData!$B$10:$G$21,10,MATCH(Dashboard!$R$8,LookupData!$B$9:$G$9,0))</f>
        <v>0</v>
      </c>
    </row>
    <row r="12" spans="1:11">
      <c r="D12" t="s">
        <v>23</v>
      </c>
      <c r="E12">
        <f>INDEX(LookupData!$B$10:$G$21,11,MATCH(Dashboard!$R$8,LookupData!$B$9:$G$9,0))</f>
        <v>0</v>
      </c>
    </row>
    <row r="13" spans="1:11">
      <c r="D13" t="s">
        <v>24</v>
      </c>
      <c r="E13">
        <f>INDEX(LookupData!$B$10:$G$21,12,MATCH(Dashboard!$R$8,LookupData!$B$9:$G$9,0))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6"/>
  <sheetViews>
    <sheetView showGridLines="0" zoomScale="85" zoomScaleNormal="85" workbookViewId="0"/>
  </sheetViews>
  <sheetFormatPr defaultRowHeight="15"/>
  <cols>
    <col min="1" max="1" width="2.7109375" customWidth="1"/>
    <col min="2" max="2" width="14.7109375" customWidth="1"/>
    <col min="3" max="26" width="11.7109375" customWidth="1"/>
  </cols>
  <sheetData>
    <row r="1" spans="2:22" ht="6" customHeight="1"/>
    <row r="2" spans="2:22" ht="52" customHeight="1">
      <c r="B2" s="3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ht="28" customHeight="1">
      <c r="B3" s="4" t="s">
        <v>33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2:22" ht="8" customHeight="1"/>
    <row r="5" spans="2:22" ht="20" customHeight="1">
      <c r="B5" s="5" t="s">
        <v>34</v>
      </c>
      <c r="C5" s="5"/>
      <c r="D5" s="5"/>
      <c r="E5" s="5"/>
      <c r="F5" s="5"/>
      <c r="G5" s="5"/>
      <c r="H5" s="5"/>
      <c r="I5" s="5"/>
      <c r="J5" s="5"/>
      <c r="K5" s="5"/>
      <c r="M5" s="5" t="s">
        <v>37</v>
      </c>
      <c r="N5" s="5"/>
      <c r="O5" s="5"/>
      <c r="P5" s="5"/>
      <c r="Q5" s="5"/>
      <c r="R5" s="5"/>
      <c r="S5" s="5"/>
      <c r="T5" s="5"/>
      <c r="U5" s="5"/>
      <c r="V5" s="5"/>
    </row>
    <row r="6" spans="2:22" ht="20" customHeight="1"/>
    <row r="7" spans="2:22" ht="20" customHeight="1"/>
    <row r="8" spans="2:22" ht="26" customHeight="1">
      <c r="B8" s="6" t="s">
        <v>35</v>
      </c>
      <c r="F8" s="7" t="s">
        <v>1</v>
      </c>
      <c r="G8" s="8" t="s">
        <v>36</v>
      </c>
      <c r="Q8" s="6" t="s">
        <v>38</v>
      </c>
      <c r="R8" s="7" t="s">
        <v>1</v>
      </c>
      <c r="S8" s="8" t="s">
        <v>36</v>
      </c>
    </row>
    <row r="29" spans="2:22">
      <c r="B29" s="5" t="s">
        <v>39</v>
      </c>
      <c r="C29" s="5"/>
      <c r="D29" s="5"/>
      <c r="E29" s="5"/>
      <c r="F29" s="5"/>
      <c r="G29" s="5"/>
      <c r="H29" s="5"/>
      <c r="I29" s="5"/>
      <c r="J29" s="5"/>
      <c r="K29" s="5"/>
      <c r="M29" s="5" t="s">
        <v>40</v>
      </c>
      <c r="N29" s="5"/>
      <c r="O29" s="5"/>
      <c r="P29" s="5"/>
      <c r="Q29" s="5"/>
      <c r="R29" s="5"/>
      <c r="S29" s="5"/>
      <c r="T29" s="5"/>
      <c r="U29" s="5"/>
      <c r="V29" s="5"/>
    </row>
    <row r="30" spans="2:22" ht="20" customHeight="1"/>
    <row r="31" spans="2:22" ht="20" customHeight="1"/>
    <row r="32" spans="2:22" ht="26" customHeight="1">
      <c r="E32" s="6" t="s">
        <v>38</v>
      </c>
      <c r="F32" s="7" t="s">
        <v>1</v>
      </c>
      <c r="G32" s="8" t="s">
        <v>36</v>
      </c>
      <c r="Q32" s="6" t="s">
        <v>35</v>
      </c>
      <c r="R32" s="7" t="s">
        <v>1</v>
      </c>
      <c r="S32" s="8" t="s">
        <v>36</v>
      </c>
    </row>
    <row r="55" spans="2:9" ht="8" customHeight="1"/>
    <row r="56" spans="2:9" ht="28" customHeight="1">
      <c r="B56" s="9" t="s">
        <v>41</v>
      </c>
      <c r="C56" s="10">
        <v>58400</v>
      </c>
      <c r="D56" s="9" t="s">
        <v>42</v>
      </c>
      <c r="E56" s="11">
        <v>640000</v>
      </c>
      <c r="F56" s="9" t="s">
        <v>43</v>
      </c>
      <c r="G56" s="11">
        <v>89333900102</v>
      </c>
      <c r="H56" s="9" t="s">
        <v>44</v>
      </c>
      <c r="I56" s="12" t="s">
        <v>8</v>
      </c>
    </row>
  </sheetData>
  <mergeCells count="6">
    <mergeCell ref="B2:V2"/>
    <mergeCell ref="B3:V3"/>
    <mergeCell ref="B5:K5"/>
    <mergeCell ref="M5:V5"/>
    <mergeCell ref="B29:K29"/>
    <mergeCell ref="M29:V29"/>
  </mergeCells>
  <dataValidations count="4">
    <dataValidation type="list" allowBlank="1" showInputMessage="1" showErrorMessage="1" promptTitle="Q1 Filter" prompt="Select a building class (or All)" sqref="F8">
      <formula1>"All,01 ONE FAMILY DWELLINGS     ,10 COOPS - ELEVATOR APARTMEN,13 CONDOS - ELEVATOR APARTME,02 TWO FAMILY DWELLINGS     ,09 COOPS - WALKUP APARTMENTS,03 THREE FAMILY DWELLINGS   "</formula1>
    </dataValidation>
    <dataValidation type="list" allowBlank="1" showInputMessage="1" showErrorMessage="1" promptTitle="Q2 Filter" prompt="Select a borough (or All)" sqref="R8">
      <formula1>"All,Manhattan,Bronx,Brooklyn,Queens,Staten Island"</formula1>
    </dataValidation>
    <dataValidation type="list" allowBlank="1" showInputMessage="1" showErrorMessage="1" promptTitle="Q3 Filter" prompt="Select a borough (or All)" sqref="F32">
      <formula1>"All,Manhattan,Bronx,Brooklyn,Queens,Staten Island"</formula1>
    </dataValidation>
    <dataValidation type="list" allowBlank="1" showInputMessage="1" showErrorMessage="1" promptTitle="Q4 Filter" prompt="Select a building class (or All)" sqref="R32">
      <formula1>"All,01 ONE FAMILY DWELLINGS     ,10 COOPS - ELEVATOR APARTMEN,13 CONDOS - ELEVATOR APARTME,02 TWO FAMILY DWELLINGS     ,09 COOPS - WALKUP APARTMENTS,03 THREE FAMILY DWELLINGS   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2" width="22.7109375" customWidth="1"/>
    <col min="3" max="6" width="18.7109375" customWidth="1"/>
  </cols>
  <sheetData>
    <row r="1" spans="1:5">
      <c r="A1" s="1" t="s">
        <v>45</v>
      </c>
      <c r="B1" s="1"/>
      <c r="D1" s="1" t="s">
        <v>47</v>
      </c>
      <c r="E1" s="1"/>
    </row>
    <row r="2" spans="1:5">
      <c r="A2" s="2" t="s">
        <v>25</v>
      </c>
      <c r="B2" s="2" t="s">
        <v>46</v>
      </c>
      <c r="D2" s="2" t="s">
        <v>25</v>
      </c>
      <c r="E2" s="2" t="s">
        <v>48</v>
      </c>
    </row>
    <row r="3" spans="1:5">
      <c r="A3" t="s">
        <v>8</v>
      </c>
      <c r="B3">
        <v>1171868.5</v>
      </c>
      <c r="D3" t="s">
        <v>8</v>
      </c>
      <c r="E3">
        <v>48196553515</v>
      </c>
    </row>
    <row r="4" spans="1:5">
      <c r="A4" t="s">
        <v>9</v>
      </c>
      <c r="B4">
        <v>410000</v>
      </c>
      <c r="D4" t="s">
        <v>9</v>
      </c>
      <c r="E4">
        <v>4160093747</v>
      </c>
    </row>
    <row r="5" spans="1:5">
      <c r="A5" t="s">
        <v>10</v>
      </c>
      <c r="B5">
        <v>775000</v>
      </c>
      <c r="D5" t="s">
        <v>10</v>
      </c>
      <c r="E5">
        <v>20066297827</v>
      </c>
    </row>
    <row r="6" spans="1:5">
      <c r="A6" t="s">
        <v>11</v>
      </c>
      <c r="B6">
        <v>500000</v>
      </c>
      <c r="D6" t="s">
        <v>11</v>
      </c>
      <c r="E6">
        <v>13644275513</v>
      </c>
    </row>
    <row r="7" spans="1:5">
      <c r="A7" t="s">
        <v>12</v>
      </c>
      <c r="B7">
        <v>470000</v>
      </c>
      <c r="D7" t="s">
        <v>12</v>
      </c>
      <c r="E7">
        <v>3266679500</v>
      </c>
    </row>
    <row r="9" spans="1:5">
      <c r="A9" s="1" t="s">
        <v>49</v>
      </c>
      <c r="B9" s="1"/>
      <c r="C9" s="1"/>
    </row>
    <row r="10" spans="1:5">
      <c r="A10" s="2" t="s">
        <v>27</v>
      </c>
      <c r="B10" s="2" t="s">
        <v>28</v>
      </c>
    </row>
    <row r="11" spans="1:5">
      <c r="A11" t="s">
        <v>13</v>
      </c>
      <c r="B11">
        <v>5365</v>
      </c>
    </row>
    <row r="12" spans="1:5">
      <c r="A12" t="s">
        <v>14</v>
      </c>
      <c r="B12">
        <v>4475</v>
      </c>
    </row>
    <row r="13" spans="1:5">
      <c r="A13" t="s">
        <v>15</v>
      </c>
      <c r="B13">
        <v>4684</v>
      </c>
    </row>
    <row r="14" spans="1:5">
      <c r="A14" t="s">
        <v>16</v>
      </c>
      <c r="B14">
        <v>5279</v>
      </c>
    </row>
    <row r="15" spans="1:5">
      <c r="A15" t="s">
        <v>17</v>
      </c>
      <c r="B15">
        <v>4711</v>
      </c>
    </row>
    <row r="16" spans="1:5">
      <c r="A16" t="s">
        <v>18</v>
      </c>
      <c r="B16">
        <v>4332</v>
      </c>
    </row>
    <row r="17" spans="1:2">
      <c r="A17" t="s">
        <v>19</v>
      </c>
      <c r="B17">
        <v>5157</v>
      </c>
    </row>
    <row r="18" spans="1:2">
      <c r="A18" t="s">
        <v>20</v>
      </c>
      <c r="B18">
        <v>4370</v>
      </c>
    </row>
    <row r="19" spans="1:2">
      <c r="A19" t="s">
        <v>21</v>
      </c>
      <c r="B19">
        <v>5138</v>
      </c>
    </row>
    <row r="20" spans="1:2">
      <c r="A20" t="s">
        <v>22</v>
      </c>
      <c r="B20">
        <v>5908</v>
      </c>
    </row>
    <row r="21" spans="1:2">
      <c r="A21" t="s">
        <v>23</v>
      </c>
      <c r="B21">
        <v>4647</v>
      </c>
    </row>
    <row r="22" spans="1:2">
      <c r="A22" t="s">
        <v>24</v>
      </c>
      <c r="B22">
        <v>4334</v>
      </c>
    </row>
  </sheetData>
  <mergeCells count="3">
    <mergeCell ref="A1:B1"/>
    <mergeCell ref="D1:E1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LookupData</vt:lpstr>
      <vt:lpstr>ChartSource</vt:lpstr>
      <vt:lpstr>Dashboard</vt:lpstr>
      <vt:lpstr>Data 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2026-05-18T17:28:19Z</dcterms:created>
  <dcterms:modified xsi:type="dcterms:W3CDTF">2026-05-18T17:28:19Z</dcterms:modified>
</cp:coreProperties>
</file>