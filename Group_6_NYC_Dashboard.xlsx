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YCPS\"/>
    </mc:Choice>
  </mc:AlternateContent>
  <xr:revisionPtr revIDLastSave="0" documentId="13_ncr:1_{61835AAB-3031-4A93-98CD-05F545FC6B6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ookupData" sheetId="1" r:id="rId1"/>
    <sheet name="ChartSource" sheetId="2" state="hidden" r:id="rId2"/>
    <sheet name="Dashboard" sheetId="3" r:id="rId3"/>
    <sheet name="Data Refere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H7" i="2"/>
  <c r="E7" i="2"/>
  <c r="K6" i="2"/>
  <c r="H6" i="2"/>
  <c r="E6" i="2"/>
  <c r="B6" i="2"/>
  <c r="K5" i="2"/>
  <c r="H5" i="2"/>
  <c r="E5" i="2"/>
  <c r="B5" i="2"/>
  <c r="K4" i="2"/>
  <c r="H4" i="2"/>
  <c r="E4" i="2"/>
  <c r="B4" i="2"/>
  <c r="K3" i="2"/>
  <c r="H3" i="2"/>
  <c r="E3" i="2"/>
  <c r="B3" i="2"/>
  <c r="K2" i="2"/>
  <c r="H2" i="2"/>
  <c r="E2" i="2"/>
  <c r="B2" i="2"/>
</calcChain>
</file>

<file path=xl/sharedStrings.xml><?xml version="1.0" encoding="utf-8"?>
<sst xmlns="http://schemas.openxmlformats.org/spreadsheetml/2006/main" count="212" uniqueCount="83">
  <si>
    <t>Label</t>
  </si>
  <si>
    <t>All</t>
  </si>
  <si>
    <t>10 COOPS - ELEVATOR APARTMEN</t>
  </si>
  <si>
    <t>13 CONDOS - ELEVATOR APARTME</t>
  </si>
  <si>
    <t>01 ONE FAMILY DWELLINGS</t>
  </si>
  <si>
    <t>01 ONE FAMILY HOMES</t>
  </si>
  <si>
    <t>02 TWO FAMILY HOMES</t>
  </si>
  <si>
    <t>02 TWO FAMILY DWELLINGS</t>
  </si>
  <si>
    <t>Manhattan</t>
  </si>
  <si>
    <t>Bronx</t>
  </si>
  <si>
    <t>Brooklyn</t>
  </si>
  <si>
    <t>Queens</t>
  </si>
  <si>
    <t>Staten Island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</si>
  <si>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</si>
  <si>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</si>
  <si>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</si>
  <si>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</si>
  <si>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</si>
  <si>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</si>
  <si>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</si>
  <si>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</si>
  <si>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</si>
  <si>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</si>
  <si>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</si>
  <si>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</si>
  <si>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</si>
  <si>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</si>
  <si>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</si>
  <si>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</si>
  <si>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</si>
  <si>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</si>
  <si>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</si>
  <si>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</si>
  <si>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</si>
  <si>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Borough</t>
  </si>
  <si>
    <t>Median Price (USD)</t>
  </si>
  <si>
    <t>Month</t>
  </si>
  <si>
    <t>Transactions</t>
  </si>
  <si>
    <t>Building Class</t>
  </si>
  <si>
    <t>Avg Price (USD)</t>
  </si>
  <si>
    <t>Total Sales Value (USD)</t>
  </si>
  <si>
    <t>Gross Sq Ft</t>
  </si>
  <si>
    <t>Sale Price</t>
  </si>
  <si>
    <t>NYC Property Sales Dashboard  |  2003 – 2023</t>
  </si>
  <si>
    <t>Analyzing 1,381,805 transactions across 5 NYC Boroughs  ·  Q1: Median Price by Borough  ·  Q2: Yearly Volume &amp; Price Trends (2003–2023)  ·  Q3: Avg Price by Building Class  ·  Q4: Total Market Value by Borough  ·  Use the dropdown filters on each chart to explore the data</t>
  </si>
  <si>
    <t>Q1 — Median Sale Price by Borough</t>
  </si>
  <si>
    <t>Building Class:</t>
  </si>
  <si>
    <t>&lt;- change to filter chart</t>
  </si>
  <si>
    <t>Q2 — Yearly Transaction Volume (2003–2023)</t>
  </si>
  <si>
    <t>Borough:</t>
  </si>
  <si>
    <t>Q3 — Avg Sale Price by Building Class</t>
  </si>
  <si>
    <t>Q4 — Total Sales Value by Borough</t>
  </si>
  <si>
    <t>Total Valid Sales</t>
  </si>
  <si>
    <t>Median Sale Price</t>
  </si>
  <si>
    <t>Total Market Value</t>
  </si>
  <si>
    <t>Top Borough (by value)</t>
  </si>
  <si>
    <t>Q5 — Correlation &amp; Linear Regression: Which Numeric Attributes Drive Sale Price?</t>
  </si>
  <si>
    <t>Dataset: NYC Property Sales 2003-2023  |  Top predictor: Gross Sq Ft  |  R² = 0.165  |  Equation: Sale Price = 233 x Gross Sq Ft + 181,460  |  p-value = 0.00e+00  |  Sample n = 500</t>
  </si>
  <si>
    <t>Predictor</t>
  </si>
  <si>
    <t>Pearson r</t>
  </si>
  <si>
    <t>Strength</t>
  </si>
  <si>
    <t>Moderate</t>
  </si>
  <si>
    <t>Total Units</t>
  </si>
  <si>
    <t>Weak</t>
  </si>
  <si>
    <t>Res Units</t>
  </si>
  <si>
    <t>Year Built</t>
  </si>
  <si>
    <t>Land Sq Ft</t>
  </si>
  <si>
    <t>Linear Regression Summary</t>
  </si>
  <si>
    <t>Dependent Variable</t>
  </si>
  <si>
    <t>Independent Variable</t>
  </si>
  <si>
    <t>R (correlation)</t>
  </si>
  <si>
    <t>R² (explained var.)</t>
  </si>
  <si>
    <t>Slope (coefficient)</t>
  </si>
  <si>
    <t>Intercept</t>
  </si>
  <si>
    <t>p-value</t>
  </si>
  <si>
    <t>Sample Size</t>
  </si>
  <si>
    <t>Q1 Median Sale Price by Borough (All Classes)</t>
  </si>
  <si>
    <t>Median Price</t>
  </si>
  <si>
    <t>Q4 Total Sales Value by Borough (All Classes)</t>
  </si>
  <si>
    <t>Total Value</t>
  </si>
  <si>
    <t>Q2 Monthly Transactions (All Boroughs)</t>
  </si>
  <si>
    <t>Q5 Correlation with Sale Price</t>
  </si>
  <si>
    <t>R 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</si>
</sst>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9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9"/>
      <color rgb="FF1F3864"/>
      <name val="Calibri"/>
      <family val="2"/>
      <scheme val="minor"/>
    </font>
    <font>
      <b/>
      <sz val="10"/>
      <color rgb="FF1F3864"/>
      <name val="Calibri"/>
      <family val="2"/>
      <scheme val="minor"/>
    </font>
    <font>
      <i/>
      <sz val="8"/>
      <color rgb="FF888888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AF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center"/>
    </xf>
    <xf numFmtId="3" fontId="9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1" fillId="9" borderId="1" xfId="0" applyFont="1" applyFill="1" applyBorder="1"/>
    <xf numFmtId="165" fontId="0" fillId="9" borderId="1" xfId="0" applyNumberFormat="1" applyFill="1" applyBorder="1" applyAlignment="1">
      <alignment horizontal="center"/>
    </xf>
    <xf numFmtId="165" fontId="11" fillId="10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165" fontId="13" fillId="1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Median Sale Price by Borough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Median Sale Price</c:v>
          </c:tx>
          <c:spPr>
            <a:solidFill>
              <a:srgbClr val="2E75B6"/>
            </a:solidFill>
          </c:spPr>
          <c:invertIfNegative val="0"/>
          <c:cat>
            <c:strRef>
              <c:f>ChartSource!$A$2:$A$6</c:f>
              <c:strCache>
                <c:ptCount val="5"/>
                <c:pt idx="0">
                  <c:v>Manhattan</c:v>
                </c:pt>
                <c:pt idx="1">
                  <c:v>Bronx</c:v>
                </c:pt>
                <c:pt idx="2">
                  <c:v>Brooklyn</c:v>
                </c:pt>
                <c:pt idx="3">
                  <c:v>Queens</c:v>
                </c:pt>
                <c:pt idx="4">
                  <c:v>Staten Island</c:v>
                </c:pt>
              </c:strCache>
            </c:strRef>
          </c:cat>
          <c:val>
            <c:numRef>
              <c:f>ChartSource!$B$2:$B$6</c:f>
              <c:numCache>
                <c:formatCode>General</c:formatCode>
                <c:ptCount val="5"/>
                <c:pt idx="0">
                  <c:v>860000</c:v>
                </c:pt>
                <c:pt idx="1">
                  <c:v>400000</c:v>
                </c:pt>
                <c:pt idx="2">
                  <c:v>600000</c:v>
                </c:pt>
                <c:pt idx="3">
                  <c:v>455800</c:v>
                </c:pt>
                <c:pt idx="4">
                  <c:v>440000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0-4382-A3BB-683CFC541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Borough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 Price (USD)</a:t>
                </a:r>
              </a:p>
            </c:rich>
          </c:tx>
          <c:overlay val="0"/>
        </c:title>
        <c:numFmt formatCode="\$#,##0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spPr>
    <a:solidFill>
      <a:srgbClr val="F5F9FF"/>
    </a:solidFill>
    <a:ln>
      <a:solidFill>
        <a:srgbClr val="BDD7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Yearly Transaction Volume (2003-2023)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Transactions</c:v>
          </c:tx>
          <c:spPr>
            <a:ln w="31750">
              <a:solidFill>
                <a:srgbClr val="ED7D31"/>
              </a:solidFill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C55A11"/>
                </a:solidFill>
              </a:ln>
            </c:spPr>
          </c:marker>
          <c:cat>
            <c:strRef>
              <c:f>ChartSource!$D$2:$D$22</c:f>
              <c:strCach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strCache>
            </c:strRef>
          </c:cat>
          <c:val>
            <c:numRef>
              <c:f>ChartSource!$E$2:$E$22</c:f>
              <c:numCache>
                <c:formatCode>General</c:formatCode>
                <c:ptCount val="21"/>
                <c:pt idx="0">
                  <c:v>79588</c:v>
                </c:pt>
                <c:pt idx="1">
                  <c:v>89442</c:v>
                </c:pt>
                <c:pt idx="2">
                  <c:v>89029</c:v>
                </c:pt>
                <c:pt idx="3">
                  <c:v>81833</c:v>
                </c:pt>
                <c:pt idx="4">
                  <c:v>74560</c:v>
                </c:pt>
                <c:pt idx="5">
                  <c:v>59592</c:v>
                </c:pt>
                <c:pt idx="6">
                  <c:v>46861</c:v>
                </c:pt>
                <c:pt idx="7">
                  <c:v>43535</c:v>
                </c:pt>
                <c:pt idx="8">
                  <c:v>47258</c:v>
                </c:pt>
                <c:pt idx="9">
                  <c:v>51606</c:v>
                </c:pt>
                <c:pt idx="10">
                  <c:v>59146</c:v>
                </c:pt>
                <c:pt idx="11">
                  <c:v>59016</c:v>
                </c:pt>
                <c:pt idx="12">
                  <c:v>62063</c:v>
                </c:pt>
                <c:pt idx="13">
                  <c:v>60292</c:v>
                </c:pt>
                <c:pt idx="14">
                  <c:v>60739</c:v>
                </c:pt>
                <c:pt idx="15">
                  <c:v>56711</c:v>
                </c:pt>
                <c:pt idx="16">
                  <c:v>55961</c:v>
                </c:pt>
                <c:pt idx="17">
                  <c:v>43788</c:v>
                </c:pt>
                <c:pt idx="18">
                  <c:v>70829</c:v>
                </c:pt>
                <c:pt idx="19">
                  <c:v>87492</c:v>
                </c:pt>
                <c:pt idx="20">
                  <c:v>102464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0-4EAF-8A65-7C289BDD8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auto val="0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spPr>
    <a:solidFill>
      <a:srgbClr val="FFFBF5"/>
    </a:solidFill>
    <a:ln>
      <a:solidFill>
        <a:srgbClr val="F4B183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Sale Price by Building Class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Avg Sale Price</c:v>
          </c:tx>
          <c:spPr>
            <a:solidFill>
              <a:srgbClr val="70AD47"/>
            </a:solidFill>
          </c:spPr>
          <c:invertIfNegative val="0"/>
          <c:cat>
            <c:strRef>
              <c:f>ChartSource!$G$2:$G$7</c:f>
              <c:strCache>
                <c:ptCount val="6"/>
                <c:pt idx="0">
                  <c:v>10 COOPS - ELEVATOR APARTMEN</c:v>
                </c:pt>
                <c:pt idx="1">
                  <c:v>13 CONDOS - ELEVATOR APARTME</c:v>
                </c:pt>
                <c:pt idx="2">
                  <c:v>01 ONE FAMILY DWELLINGS</c:v>
                </c:pt>
                <c:pt idx="3">
                  <c:v>01 ONE FAMILY HOMES</c:v>
                </c:pt>
                <c:pt idx="4">
                  <c:v>02 TWO FAMILY HOMES</c:v>
                </c:pt>
                <c:pt idx="5">
                  <c:v>02 TWO FAMILY DWELLINGS</c:v>
                </c:pt>
              </c:strCache>
            </c:strRef>
          </c:cat>
          <c:val>
            <c:numRef>
              <c:f>ChartSource!$H$2:$H$7</c:f>
              <c:numCache>
                <c:formatCode>General</c:formatCode>
                <c:ptCount val="6"/>
                <c:pt idx="0">
                  <c:v>385000</c:v>
                </c:pt>
                <c:pt idx="1">
                  <c:v>880000</c:v>
                </c:pt>
                <c:pt idx="2">
                  <c:v>590000</c:v>
                </c:pt>
                <c:pt idx="3">
                  <c:v>402000</c:v>
                </c:pt>
                <c:pt idx="4">
                  <c:v>486000</c:v>
                </c:pt>
                <c:pt idx="5">
                  <c:v>740000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5-4CC3-B9F8-2C1AB020C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Building Class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Price (USD)</a:t>
                </a:r>
              </a:p>
            </c:rich>
          </c:tx>
          <c:overlay val="0"/>
        </c:title>
        <c:numFmt formatCode="\$#,##0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spPr>
    <a:solidFill>
      <a:srgbClr val="F6FFF0"/>
    </a:solidFill>
    <a:ln>
      <a:solidFill>
        <a:srgbClr val="A9D18E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Sales Value by Borough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Sales Value</c:v>
          </c:tx>
          <c:spPr>
            <a:solidFill>
              <a:srgbClr val="7030A0"/>
            </a:solidFill>
          </c:spPr>
          <c:invertIfNegative val="0"/>
          <c:cat>
            <c:strRef>
              <c:f>ChartSource!$J$2:$J$6</c:f>
              <c:strCache>
                <c:ptCount val="5"/>
                <c:pt idx="0">
                  <c:v>Manhattan</c:v>
                </c:pt>
                <c:pt idx="1">
                  <c:v>Bronx</c:v>
                </c:pt>
                <c:pt idx="2">
                  <c:v>Brooklyn</c:v>
                </c:pt>
                <c:pt idx="3">
                  <c:v>Queens</c:v>
                </c:pt>
                <c:pt idx="4">
                  <c:v>Staten Island</c:v>
                </c:pt>
              </c:strCache>
            </c:strRef>
          </c:cat>
          <c:val>
            <c:numRef>
              <c:f>ChartSource!$K$2:$K$6</c:f>
              <c:numCache>
                <c:formatCode>General</c:formatCode>
                <c:ptCount val="5"/>
                <c:pt idx="0">
                  <c:v>1140457689496</c:v>
                </c:pt>
                <c:pt idx="1">
                  <c:v>98338483764</c:v>
                </c:pt>
                <c:pt idx="2">
                  <c:v>378370296962</c:v>
                </c:pt>
                <c:pt idx="3">
                  <c:v>316330311011</c:v>
                </c:pt>
                <c:pt idx="4">
                  <c:v>68318777602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3-4D9A-A11F-6544ED8F6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Borough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Value (USD)</a:t>
                </a:r>
              </a:p>
            </c:rich>
          </c:tx>
          <c:overlay val="0"/>
        </c:title>
        <c:numFmt formatCode="\$#,##0,,&quot;M&quot;" sourceLinked="0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spPr>
    <a:solidFill>
      <a:srgbClr val="FAF5FF"/>
    </a:solidFill>
    <a:ln>
      <a:solidFill>
        <a:srgbClr val="B39C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Q5 — Sale Price vs Gross Sq Ft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Sampled Sales</c:v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4472C4">
                  <a:alpha val="50000"/>
                </a:srgbClr>
              </a:solidFill>
              <a:ln>
                <a:solidFill>
                  <a:srgbClr val="4472C4"/>
                </a:solidFill>
              </a:ln>
            </c:spPr>
          </c:marker>
          <c:trendline>
            <c:spPr>
              <a:ln w="254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ChartSource!$M$2:$M$501</c:f>
              <c:numCache>
                <c:formatCode>General</c:formatCode>
                <c:ptCount val="500"/>
                <c:pt idx="0">
                  <c:v>870</c:v>
                </c:pt>
                <c:pt idx="1">
                  <c:v>1274</c:v>
                </c:pt>
                <c:pt idx="2">
                  <c:v>1600</c:v>
                </c:pt>
                <c:pt idx="3">
                  <c:v>1790</c:v>
                </c:pt>
                <c:pt idx="4">
                  <c:v>1344</c:v>
                </c:pt>
                <c:pt idx="5">
                  <c:v>3850</c:v>
                </c:pt>
                <c:pt idx="6">
                  <c:v>1920</c:v>
                </c:pt>
                <c:pt idx="7">
                  <c:v>1874</c:v>
                </c:pt>
                <c:pt idx="8">
                  <c:v>1468</c:v>
                </c:pt>
                <c:pt idx="9">
                  <c:v>3069</c:v>
                </c:pt>
                <c:pt idx="10">
                  <c:v>1284</c:v>
                </c:pt>
                <c:pt idx="11">
                  <c:v>1316</c:v>
                </c:pt>
                <c:pt idx="12">
                  <c:v>1833</c:v>
                </c:pt>
                <c:pt idx="13">
                  <c:v>2028</c:v>
                </c:pt>
                <c:pt idx="14">
                  <c:v>2240</c:v>
                </c:pt>
                <c:pt idx="15">
                  <c:v>1224</c:v>
                </c:pt>
                <c:pt idx="16">
                  <c:v>2480</c:v>
                </c:pt>
                <c:pt idx="17">
                  <c:v>1950</c:v>
                </c:pt>
                <c:pt idx="18">
                  <c:v>3512</c:v>
                </c:pt>
                <c:pt idx="19">
                  <c:v>2320</c:v>
                </c:pt>
                <c:pt idx="20">
                  <c:v>1465</c:v>
                </c:pt>
                <c:pt idx="21">
                  <c:v>1350</c:v>
                </c:pt>
                <c:pt idx="22">
                  <c:v>2733</c:v>
                </c:pt>
                <c:pt idx="23">
                  <c:v>1673</c:v>
                </c:pt>
                <c:pt idx="24">
                  <c:v>3035</c:v>
                </c:pt>
                <c:pt idx="25">
                  <c:v>2376</c:v>
                </c:pt>
                <c:pt idx="26">
                  <c:v>1486</c:v>
                </c:pt>
                <c:pt idx="27">
                  <c:v>4600</c:v>
                </c:pt>
                <c:pt idx="28">
                  <c:v>2100</c:v>
                </c:pt>
                <c:pt idx="29">
                  <c:v>2166</c:v>
                </c:pt>
                <c:pt idx="30">
                  <c:v>2800</c:v>
                </c:pt>
                <c:pt idx="31">
                  <c:v>1880</c:v>
                </c:pt>
                <c:pt idx="32">
                  <c:v>2140</c:v>
                </c:pt>
                <c:pt idx="33">
                  <c:v>2552</c:v>
                </c:pt>
                <c:pt idx="34">
                  <c:v>2838</c:v>
                </c:pt>
                <c:pt idx="35">
                  <c:v>1056</c:v>
                </c:pt>
                <c:pt idx="36">
                  <c:v>4360</c:v>
                </c:pt>
                <c:pt idx="37">
                  <c:v>5000</c:v>
                </c:pt>
                <c:pt idx="38">
                  <c:v>1560</c:v>
                </c:pt>
                <c:pt idx="39">
                  <c:v>1352</c:v>
                </c:pt>
                <c:pt idx="40">
                  <c:v>1338</c:v>
                </c:pt>
                <c:pt idx="41">
                  <c:v>1364</c:v>
                </c:pt>
                <c:pt idx="42">
                  <c:v>1120</c:v>
                </c:pt>
                <c:pt idx="43">
                  <c:v>1944</c:v>
                </c:pt>
                <c:pt idx="44">
                  <c:v>2297</c:v>
                </c:pt>
                <c:pt idx="45">
                  <c:v>1792</c:v>
                </c:pt>
                <c:pt idx="46">
                  <c:v>1232</c:v>
                </c:pt>
                <c:pt idx="47">
                  <c:v>2400</c:v>
                </c:pt>
                <c:pt idx="48">
                  <c:v>1700</c:v>
                </c:pt>
                <c:pt idx="49">
                  <c:v>1800</c:v>
                </c:pt>
                <c:pt idx="50">
                  <c:v>2292</c:v>
                </c:pt>
                <c:pt idx="51">
                  <c:v>1010</c:v>
                </c:pt>
                <c:pt idx="52">
                  <c:v>3420</c:v>
                </c:pt>
                <c:pt idx="53">
                  <c:v>8242</c:v>
                </c:pt>
                <c:pt idx="54">
                  <c:v>1440</c:v>
                </c:pt>
                <c:pt idx="55">
                  <c:v>2464</c:v>
                </c:pt>
                <c:pt idx="56">
                  <c:v>1530</c:v>
                </c:pt>
                <c:pt idx="57">
                  <c:v>1200</c:v>
                </c:pt>
                <c:pt idx="58">
                  <c:v>2960</c:v>
                </c:pt>
                <c:pt idx="59">
                  <c:v>1900</c:v>
                </c:pt>
                <c:pt idx="60">
                  <c:v>1110</c:v>
                </c:pt>
                <c:pt idx="61">
                  <c:v>1752</c:v>
                </c:pt>
                <c:pt idx="62">
                  <c:v>1224</c:v>
                </c:pt>
                <c:pt idx="63">
                  <c:v>4187</c:v>
                </c:pt>
                <c:pt idx="64">
                  <c:v>3720</c:v>
                </c:pt>
                <c:pt idx="65">
                  <c:v>1620</c:v>
                </c:pt>
                <c:pt idx="66">
                  <c:v>1538</c:v>
                </c:pt>
                <c:pt idx="67">
                  <c:v>2129</c:v>
                </c:pt>
                <c:pt idx="68">
                  <c:v>4037</c:v>
                </c:pt>
                <c:pt idx="69">
                  <c:v>1152</c:v>
                </c:pt>
                <c:pt idx="70">
                  <c:v>4426</c:v>
                </c:pt>
                <c:pt idx="71">
                  <c:v>1833</c:v>
                </c:pt>
                <c:pt idx="72">
                  <c:v>2400</c:v>
                </c:pt>
                <c:pt idx="73">
                  <c:v>1080</c:v>
                </c:pt>
                <c:pt idx="74">
                  <c:v>2000</c:v>
                </c:pt>
                <c:pt idx="75">
                  <c:v>1848</c:v>
                </c:pt>
                <c:pt idx="76">
                  <c:v>1358</c:v>
                </c:pt>
                <c:pt idx="77">
                  <c:v>2365</c:v>
                </c:pt>
                <c:pt idx="78">
                  <c:v>2820</c:v>
                </c:pt>
                <c:pt idx="79">
                  <c:v>2420</c:v>
                </c:pt>
                <c:pt idx="80">
                  <c:v>2092</c:v>
                </c:pt>
                <c:pt idx="81">
                  <c:v>2400</c:v>
                </c:pt>
                <c:pt idx="82">
                  <c:v>2128</c:v>
                </c:pt>
                <c:pt idx="83">
                  <c:v>3640</c:v>
                </c:pt>
                <c:pt idx="84">
                  <c:v>2971</c:v>
                </c:pt>
                <c:pt idx="85">
                  <c:v>1920</c:v>
                </c:pt>
                <c:pt idx="86">
                  <c:v>1836</c:v>
                </c:pt>
                <c:pt idx="87">
                  <c:v>3045</c:v>
                </c:pt>
                <c:pt idx="88">
                  <c:v>5400</c:v>
                </c:pt>
                <c:pt idx="89">
                  <c:v>2799</c:v>
                </c:pt>
                <c:pt idx="90">
                  <c:v>2409</c:v>
                </c:pt>
                <c:pt idx="91">
                  <c:v>1224</c:v>
                </c:pt>
                <c:pt idx="92">
                  <c:v>1683</c:v>
                </c:pt>
                <c:pt idx="93">
                  <c:v>2043</c:v>
                </c:pt>
                <c:pt idx="94">
                  <c:v>3068</c:v>
                </c:pt>
                <c:pt idx="95">
                  <c:v>896</c:v>
                </c:pt>
                <c:pt idx="96">
                  <c:v>1148</c:v>
                </c:pt>
                <c:pt idx="97">
                  <c:v>1440</c:v>
                </c:pt>
                <c:pt idx="98">
                  <c:v>4399</c:v>
                </c:pt>
                <c:pt idx="99">
                  <c:v>3480</c:v>
                </c:pt>
                <c:pt idx="100">
                  <c:v>3334</c:v>
                </c:pt>
                <c:pt idx="101">
                  <c:v>1260</c:v>
                </c:pt>
                <c:pt idx="102">
                  <c:v>4592</c:v>
                </c:pt>
                <c:pt idx="103">
                  <c:v>3306</c:v>
                </c:pt>
                <c:pt idx="104">
                  <c:v>3250</c:v>
                </c:pt>
                <c:pt idx="105">
                  <c:v>4290</c:v>
                </c:pt>
                <c:pt idx="106">
                  <c:v>1332</c:v>
                </c:pt>
                <c:pt idx="107">
                  <c:v>2640</c:v>
                </c:pt>
                <c:pt idx="108">
                  <c:v>2036</c:v>
                </c:pt>
                <c:pt idx="109">
                  <c:v>2830</c:v>
                </c:pt>
                <c:pt idx="110">
                  <c:v>1210</c:v>
                </c:pt>
                <c:pt idx="111">
                  <c:v>3136</c:v>
                </c:pt>
                <c:pt idx="112">
                  <c:v>3172</c:v>
                </c:pt>
                <c:pt idx="113">
                  <c:v>3480</c:v>
                </c:pt>
                <c:pt idx="114">
                  <c:v>1900</c:v>
                </c:pt>
                <c:pt idx="115">
                  <c:v>2280</c:v>
                </c:pt>
                <c:pt idx="116">
                  <c:v>3528</c:v>
                </c:pt>
                <c:pt idx="117">
                  <c:v>3080</c:v>
                </c:pt>
                <c:pt idx="118">
                  <c:v>3078</c:v>
                </c:pt>
                <c:pt idx="119">
                  <c:v>2603</c:v>
                </c:pt>
                <c:pt idx="120">
                  <c:v>1546</c:v>
                </c:pt>
                <c:pt idx="121">
                  <c:v>1356</c:v>
                </c:pt>
                <c:pt idx="122">
                  <c:v>3726</c:v>
                </c:pt>
                <c:pt idx="123">
                  <c:v>1200</c:v>
                </c:pt>
                <c:pt idx="124">
                  <c:v>2133</c:v>
                </c:pt>
                <c:pt idx="125">
                  <c:v>432</c:v>
                </c:pt>
                <c:pt idx="126">
                  <c:v>1496</c:v>
                </c:pt>
                <c:pt idx="127">
                  <c:v>1800</c:v>
                </c:pt>
                <c:pt idx="128">
                  <c:v>1017</c:v>
                </c:pt>
                <c:pt idx="129">
                  <c:v>3247</c:v>
                </c:pt>
                <c:pt idx="130">
                  <c:v>1216</c:v>
                </c:pt>
                <c:pt idx="131">
                  <c:v>2361</c:v>
                </c:pt>
                <c:pt idx="132">
                  <c:v>1738</c:v>
                </c:pt>
                <c:pt idx="133">
                  <c:v>2532</c:v>
                </c:pt>
                <c:pt idx="134">
                  <c:v>1207</c:v>
                </c:pt>
                <c:pt idx="135">
                  <c:v>2028</c:v>
                </c:pt>
                <c:pt idx="136">
                  <c:v>1195</c:v>
                </c:pt>
                <c:pt idx="137">
                  <c:v>3674</c:v>
                </c:pt>
                <c:pt idx="138">
                  <c:v>2364</c:v>
                </c:pt>
                <c:pt idx="139">
                  <c:v>3200</c:v>
                </c:pt>
                <c:pt idx="140">
                  <c:v>3400</c:v>
                </c:pt>
                <c:pt idx="141">
                  <c:v>1188</c:v>
                </c:pt>
                <c:pt idx="142">
                  <c:v>3780</c:v>
                </c:pt>
                <c:pt idx="143">
                  <c:v>2450</c:v>
                </c:pt>
                <c:pt idx="144">
                  <c:v>1887</c:v>
                </c:pt>
                <c:pt idx="145">
                  <c:v>2113</c:v>
                </c:pt>
                <c:pt idx="146">
                  <c:v>3120</c:v>
                </c:pt>
                <c:pt idx="147">
                  <c:v>1680</c:v>
                </c:pt>
                <c:pt idx="148">
                  <c:v>3000</c:v>
                </c:pt>
                <c:pt idx="149">
                  <c:v>2978</c:v>
                </c:pt>
                <c:pt idx="150">
                  <c:v>2000</c:v>
                </c:pt>
                <c:pt idx="151">
                  <c:v>2058</c:v>
                </c:pt>
                <c:pt idx="152">
                  <c:v>4505</c:v>
                </c:pt>
                <c:pt idx="153">
                  <c:v>1270</c:v>
                </c:pt>
                <c:pt idx="154">
                  <c:v>1232</c:v>
                </c:pt>
                <c:pt idx="155">
                  <c:v>1680</c:v>
                </c:pt>
                <c:pt idx="156">
                  <c:v>1720</c:v>
                </c:pt>
                <c:pt idx="157">
                  <c:v>2808</c:v>
                </c:pt>
                <c:pt idx="158">
                  <c:v>1340</c:v>
                </c:pt>
                <c:pt idx="159">
                  <c:v>2314</c:v>
                </c:pt>
                <c:pt idx="160">
                  <c:v>2300</c:v>
                </c:pt>
                <c:pt idx="161">
                  <c:v>2205</c:v>
                </c:pt>
                <c:pt idx="162">
                  <c:v>2640</c:v>
                </c:pt>
                <c:pt idx="163">
                  <c:v>1000</c:v>
                </c:pt>
                <c:pt idx="164">
                  <c:v>2250</c:v>
                </c:pt>
                <c:pt idx="165">
                  <c:v>1950</c:v>
                </c:pt>
                <c:pt idx="166">
                  <c:v>3036</c:v>
                </c:pt>
                <c:pt idx="167">
                  <c:v>1560</c:v>
                </c:pt>
                <c:pt idx="168">
                  <c:v>4828</c:v>
                </c:pt>
                <c:pt idx="169">
                  <c:v>1600</c:v>
                </c:pt>
                <c:pt idx="170">
                  <c:v>1302</c:v>
                </c:pt>
                <c:pt idx="171">
                  <c:v>3000</c:v>
                </c:pt>
                <c:pt idx="172">
                  <c:v>1536</c:v>
                </c:pt>
                <c:pt idx="173">
                  <c:v>2216</c:v>
                </c:pt>
                <c:pt idx="174">
                  <c:v>2746</c:v>
                </c:pt>
                <c:pt idx="175">
                  <c:v>1700</c:v>
                </c:pt>
                <c:pt idx="176">
                  <c:v>1260</c:v>
                </c:pt>
                <c:pt idx="177">
                  <c:v>1624</c:v>
                </c:pt>
                <c:pt idx="178">
                  <c:v>1720</c:v>
                </c:pt>
                <c:pt idx="179">
                  <c:v>1520</c:v>
                </c:pt>
                <c:pt idx="180">
                  <c:v>1596</c:v>
                </c:pt>
                <c:pt idx="181">
                  <c:v>1448</c:v>
                </c:pt>
                <c:pt idx="182">
                  <c:v>1496</c:v>
                </c:pt>
                <c:pt idx="183">
                  <c:v>2100</c:v>
                </c:pt>
                <c:pt idx="184">
                  <c:v>1586</c:v>
                </c:pt>
                <c:pt idx="185">
                  <c:v>3131</c:v>
                </c:pt>
                <c:pt idx="186">
                  <c:v>1300</c:v>
                </c:pt>
                <c:pt idx="187">
                  <c:v>1764</c:v>
                </c:pt>
                <c:pt idx="188">
                  <c:v>1000</c:v>
                </c:pt>
                <c:pt idx="189">
                  <c:v>840</c:v>
                </c:pt>
                <c:pt idx="190">
                  <c:v>1800</c:v>
                </c:pt>
                <c:pt idx="191">
                  <c:v>1854</c:v>
                </c:pt>
                <c:pt idx="192">
                  <c:v>2484</c:v>
                </c:pt>
                <c:pt idx="193">
                  <c:v>1188</c:v>
                </c:pt>
                <c:pt idx="194">
                  <c:v>2800</c:v>
                </c:pt>
                <c:pt idx="195">
                  <c:v>2086</c:v>
                </c:pt>
                <c:pt idx="196">
                  <c:v>3180</c:v>
                </c:pt>
                <c:pt idx="197">
                  <c:v>2000</c:v>
                </c:pt>
                <c:pt idx="198">
                  <c:v>2268</c:v>
                </c:pt>
                <c:pt idx="199">
                  <c:v>4800</c:v>
                </c:pt>
                <c:pt idx="200">
                  <c:v>1425</c:v>
                </c:pt>
                <c:pt idx="201">
                  <c:v>1625</c:v>
                </c:pt>
                <c:pt idx="202">
                  <c:v>3840</c:v>
                </c:pt>
                <c:pt idx="203">
                  <c:v>1143</c:v>
                </c:pt>
                <c:pt idx="204">
                  <c:v>2515</c:v>
                </c:pt>
                <c:pt idx="205">
                  <c:v>1408</c:v>
                </c:pt>
                <c:pt idx="206">
                  <c:v>1080</c:v>
                </c:pt>
                <c:pt idx="207">
                  <c:v>5096</c:v>
                </c:pt>
                <c:pt idx="208">
                  <c:v>2536</c:v>
                </c:pt>
                <c:pt idx="209">
                  <c:v>1760</c:v>
                </c:pt>
                <c:pt idx="210">
                  <c:v>2046</c:v>
                </c:pt>
                <c:pt idx="211">
                  <c:v>2392</c:v>
                </c:pt>
                <c:pt idx="212">
                  <c:v>1260</c:v>
                </c:pt>
                <c:pt idx="213">
                  <c:v>3300</c:v>
                </c:pt>
                <c:pt idx="214">
                  <c:v>1120</c:v>
                </c:pt>
                <c:pt idx="215">
                  <c:v>1560</c:v>
                </c:pt>
                <c:pt idx="216">
                  <c:v>2205</c:v>
                </c:pt>
                <c:pt idx="217">
                  <c:v>1568</c:v>
                </c:pt>
                <c:pt idx="218">
                  <c:v>1800</c:v>
                </c:pt>
                <c:pt idx="219">
                  <c:v>1920</c:v>
                </c:pt>
                <c:pt idx="220">
                  <c:v>2040</c:v>
                </c:pt>
                <c:pt idx="221">
                  <c:v>3336</c:v>
                </c:pt>
                <c:pt idx="222">
                  <c:v>2248</c:v>
                </c:pt>
                <c:pt idx="223">
                  <c:v>3024</c:v>
                </c:pt>
                <c:pt idx="224">
                  <c:v>1568</c:v>
                </c:pt>
                <c:pt idx="225">
                  <c:v>2544</c:v>
                </c:pt>
                <c:pt idx="226">
                  <c:v>1533</c:v>
                </c:pt>
                <c:pt idx="227">
                  <c:v>780</c:v>
                </c:pt>
                <c:pt idx="228">
                  <c:v>1350</c:v>
                </c:pt>
                <c:pt idx="229">
                  <c:v>2380</c:v>
                </c:pt>
                <c:pt idx="230">
                  <c:v>9784</c:v>
                </c:pt>
                <c:pt idx="231">
                  <c:v>1888</c:v>
                </c:pt>
                <c:pt idx="232">
                  <c:v>2600</c:v>
                </c:pt>
                <c:pt idx="233">
                  <c:v>1800</c:v>
                </c:pt>
                <c:pt idx="234">
                  <c:v>1472</c:v>
                </c:pt>
                <c:pt idx="235">
                  <c:v>2178</c:v>
                </c:pt>
                <c:pt idx="236">
                  <c:v>1408</c:v>
                </c:pt>
                <c:pt idx="237">
                  <c:v>3300</c:v>
                </c:pt>
                <c:pt idx="238">
                  <c:v>2048</c:v>
                </c:pt>
                <c:pt idx="239">
                  <c:v>3140</c:v>
                </c:pt>
                <c:pt idx="240">
                  <c:v>1584</c:v>
                </c:pt>
                <c:pt idx="241">
                  <c:v>1312</c:v>
                </c:pt>
                <c:pt idx="242">
                  <c:v>1328</c:v>
                </c:pt>
                <c:pt idx="243">
                  <c:v>2312</c:v>
                </c:pt>
                <c:pt idx="244">
                  <c:v>2875</c:v>
                </c:pt>
                <c:pt idx="245">
                  <c:v>1080</c:v>
                </c:pt>
                <c:pt idx="246">
                  <c:v>1782</c:v>
                </c:pt>
                <c:pt idx="247">
                  <c:v>2736</c:v>
                </c:pt>
                <c:pt idx="248">
                  <c:v>3800</c:v>
                </c:pt>
                <c:pt idx="249">
                  <c:v>6500</c:v>
                </c:pt>
                <c:pt idx="250">
                  <c:v>1650</c:v>
                </c:pt>
                <c:pt idx="251">
                  <c:v>3520</c:v>
                </c:pt>
                <c:pt idx="252">
                  <c:v>2650</c:v>
                </c:pt>
                <c:pt idx="253">
                  <c:v>960</c:v>
                </c:pt>
                <c:pt idx="254">
                  <c:v>2280</c:v>
                </c:pt>
                <c:pt idx="255">
                  <c:v>1897</c:v>
                </c:pt>
                <c:pt idx="256">
                  <c:v>2000</c:v>
                </c:pt>
                <c:pt idx="257">
                  <c:v>1530</c:v>
                </c:pt>
                <c:pt idx="258">
                  <c:v>1404</c:v>
                </c:pt>
                <c:pt idx="259">
                  <c:v>1720</c:v>
                </c:pt>
                <c:pt idx="260">
                  <c:v>1476</c:v>
                </c:pt>
                <c:pt idx="261">
                  <c:v>3000</c:v>
                </c:pt>
                <c:pt idx="262">
                  <c:v>1625</c:v>
                </c:pt>
                <c:pt idx="263">
                  <c:v>1480</c:v>
                </c:pt>
                <c:pt idx="264">
                  <c:v>2080</c:v>
                </c:pt>
                <c:pt idx="265">
                  <c:v>1300</c:v>
                </c:pt>
                <c:pt idx="266">
                  <c:v>1540</c:v>
                </c:pt>
                <c:pt idx="267">
                  <c:v>2176</c:v>
                </c:pt>
                <c:pt idx="268">
                  <c:v>3440</c:v>
                </c:pt>
                <c:pt idx="269">
                  <c:v>1496</c:v>
                </c:pt>
                <c:pt idx="270">
                  <c:v>1920</c:v>
                </c:pt>
                <c:pt idx="271">
                  <c:v>2100</c:v>
                </c:pt>
                <c:pt idx="272">
                  <c:v>3260</c:v>
                </c:pt>
                <c:pt idx="273">
                  <c:v>2958</c:v>
                </c:pt>
                <c:pt idx="274">
                  <c:v>2240</c:v>
                </c:pt>
                <c:pt idx="275">
                  <c:v>1031</c:v>
                </c:pt>
                <c:pt idx="276">
                  <c:v>1643</c:v>
                </c:pt>
                <c:pt idx="277">
                  <c:v>1148</c:v>
                </c:pt>
                <c:pt idx="278">
                  <c:v>1416</c:v>
                </c:pt>
                <c:pt idx="279">
                  <c:v>3450</c:v>
                </c:pt>
                <c:pt idx="280">
                  <c:v>2800</c:v>
                </c:pt>
                <c:pt idx="281">
                  <c:v>2080</c:v>
                </c:pt>
                <c:pt idx="282">
                  <c:v>1760</c:v>
                </c:pt>
                <c:pt idx="283">
                  <c:v>1620</c:v>
                </c:pt>
                <c:pt idx="284">
                  <c:v>3600</c:v>
                </c:pt>
                <c:pt idx="285">
                  <c:v>2914</c:v>
                </c:pt>
                <c:pt idx="286">
                  <c:v>1310</c:v>
                </c:pt>
                <c:pt idx="287">
                  <c:v>1890</c:v>
                </c:pt>
                <c:pt idx="288">
                  <c:v>3150</c:v>
                </c:pt>
                <c:pt idx="289">
                  <c:v>2988</c:v>
                </c:pt>
                <c:pt idx="290">
                  <c:v>2828</c:v>
                </c:pt>
                <c:pt idx="291">
                  <c:v>1728</c:v>
                </c:pt>
                <c:pt idx="292">
                  <c:v>920</c:v>
                </c:pt>
                <c:pt idx="293">
                  <c:v>2700</c:v>
                </c:pt>
                <c:pt idx="294">
                  <c:v>870</c:v>
                </c:pt>
                <c:pt idx="295">
                  <c:v>3096</c:v>
                </c:pt>
                <c:pt idx="296">
                  <c:v>1657</c:v>
                </c:pt>
                <c:pt idx="297">
                  <c:v>1056</c:v>
                </c:pt>
                <c:pt idx="298">
                  <c:v>2818</c:v>
                </c:pt>
                <c:pt idx="299">
                  <c:v>2196</c:v>
                </c:pt>
                <c:pt idx="300">
                  <c:v>1152</c:v>
                </c:pt>
                <c:pt idx="301">
                  <c:v>2676</c:v>
                </c:pt>
                <c:pt idx="302">
                  <c:v>2586</c:v>
                </c:pt>
                <c:pt idx="303">
                  <c:v>1584</c:v>
                </c:pt>
                <c:pt idx="304">
                  <c:v>5670</c:v>
                </c:pt>
                <c:pt idx="305">
                  <c:v>2757</c:v>
                </c:pt>
                <c:pt idx="306">
                  <c:v>2016</c:v>
                </c:pt>
                <c:pt idx="307">
                  <c:v>2192</c:v>
                </c:pt>
                <c:pt idx="308">
                  <c:v>750</c:v>
                </c:pt>
                <c:pt idx="309">
                  <c:v>1408</c:v>
                </c:pt>
                <c:pt idx="310">
                  <c:v>4530</c:v>
                </c:pt>
                <c:pt idx="311">
                  <c:v>845</c:v>
                </c:pt>
                <c:pt idx="312">
                  <c:v>3420</c:v>
                </c:pt>
                <c:pt idx="313">
                  <c:v>2160</c:v>
                </c:pt>
                <c:pt idx="314">
                  <c:v>2130</c:v>
                </c:pt>
                <c:pt idx="315">
                  <c:v>1452</c:v>
                </c:pt>
                <c:pt idx="316">
                  <c:v>3229</c:v>
                </c:pt>
                <c:pt idx="317">
                  <c:v>1344</c:v>
                </c:pt>
                <c:pt idx="318">
                  <c:v>3449</c:v>
                </c:pt>
                <c:pt idx="319">
                  <c:v>2008</c:v>
                </c:pt>
                <c:pt idx="320">
                  <c:v>1840</c:v>
                </c:pt>
                <c:pt idx="321">
                  <c:v>870</c:v>
                </c:pt>
                <c:pt idx="322">
                  <c:v>1784</c:v>
                </c:pt>
                <c:pt idx="323">
                  <c:v>2144</c:v>
                </c:pt>
                <c:pt idx="324">
                  <c:v>2760</c:v>
                </c:pt>
                <c:pt idx="325">
                  <c:v>2498</c:v>
                </c:pt>
                <c:pt idx="326">
                  <c:v>1232</c:v>
                </c:pt>
                <c:pt idx="327">
                  <c:v>1615</c:v>
                </c:pt>
                <c:pt idx="328">
                  <c:v>2808</c:v>
                </c:pt>
                <c:pt idx="329">
                  <c:v>3192</c:v>
                </c:pt>
                <c:pt idx="330">
                  <c:v>1362</c:v>
                </c:pt>
                <c:pt idx="331">
                  <c:v>1746</c:v>
                </c:pt>
                <c:pt idx="332">
                  <c:v>2284</c:v>
                </c:pt>
                <c:pt idx="333">
                  <c:v>2538</c:v>
                </c:pt>
                <c:pt idx="334">
                  <c:v>1436</c:v>
                </c:pt>
                <c:pt idx="335">
                  <c:v>1696</c:v>
                </c:pt>
                <c:pt idx="336">
                  <c:v>3300</c:v>
                </c:pt>
                <c:pt idx="337">
                  <c:v>2352</c:v>
                </c:pt>
                <c:pt idx="338">
                  <c:v>1472</c:v>
                </c:pt>
                <c:pt idx="339">
                  <c:v>3384</c:v>
                </c:pt>
                <c:pt idx="340">
                  <c:v>2172</c:v>
                </c:pt>
                <c:pt idx="341">
                  <c:v>1200</c:v>
                </c:pt>
                <c:pt idx="342">
                  <c:v>1764</c:v>
                </c:pt>
                <c:pt idx="343">
                  <c:v>1135</c:v>
                </c:pt>
                <c:pt idx="344">
                  <c:v>3025</c:v>
                </c:pt>
                <c:pt idx="345">
                  <c:v>1960</c:v>
                </c:pt>
                <c:pt idx="346">
                  <c:v>2964</c:v>
                </c:pt>
                <c:pt idx="347">
                  <c:v>3198</c:v>
                </c:pt>
                <c:pt idx="348">
                  <c:v>1780</c:v>
                </c:pt>
                <c:pt idx="349">
                  <c:v>2730</c:v>
                </c:pt>
                <c:pt idx="350">
                  <c:v>2232</c:v>
                </c:pt>
                <c:pt idx="351">
                  <c:v>1938</c:v>
                </c:pt>
                <c:pt idx="352">
                  <c:v>2208</c:v>
                </c:pt>
                <c:pt idx="353">
                  <c:v>4400</c:v>
                </c:pt>
                <c:pt idx="354">
                  <c:v>2400</c:v>
                </c:pt>
                <c:pt idx="355">
                  <c:v>1672</c:v>
                </c:pt>
                <c:pt idx="356">
                  <c:v>945</c:v>
                </c:pt>
                <c:pt idx="357">
                  <c:v>1246</c:v>
                </c:pt>
                <c:pt idx="358">
                  <c:v>1204</c:v>
                </c:pt>
                <c:pt idx="359">
                  <c:v>6000</c:v>
                </c:pt>
                <c:pt idx="360">
                  <c:v>3587</c:v>
                </c:pt>
                <c:pt idx="361">
                  <c:v>1920</c:v>
                </c:pt>
                <c:pt idx="362">
                  <c:v>2074</c:v>
                </c:pt>
                <c:pt idx="363">
                  <c:v>1804</c:v>
                </c:pt>
                <c:pt idx="364">
                  <c:v>2144</c:v>
                </c:pt>
                <c:pt idx="365">
                  <c:v>1500</c:v>
                </c:pt>
                <c:pt idx="366">
                  <c:v>2025</c:v>
                </c:pt>
                <c:pt idx="367">
                  <c:v>4499</c:v>
                </c:pt>
                <c:pt idx="368">
                  <c:v>3000</c:v>
                </c:pt>
                <c:pt idx="369">
                  <c:v>1646</c:v>
                </c:pt>
                <c:pt idx="370">
                  <c:v>2805</c:v>
                </c:pt>
                <c:pt idx="371">
                  <c:v>1296</c:v>
                </c:pt>
                <c:pt idx="372">
                  <c:v>1440</c:v>
                </c:pt>
                <c:pt idx="373">
                  <c:v>3201</c:v>
                </c:pt>
                <c:pt idx="374">
                  <c:v>1890</c:v>
                </c:pt>
                <c:pt idx="375">
                  <c:v>1494</c:v>
                </c:pt>
                <c:pt idx="376">
                  <c:v>2912</c:v>
                </c:pt>
                <c:pt idx="377">
                  <c:v>1332</c:v>
                </c:pt>
                <c:pt idx="378">
                  <c:v>2880</c:v>
                </c:pt>
                <c:pt idx="379">
                  <c:v>1765</c:v>
                </c:pt>
                <c:pt idx="380">
                  <c:v>2058</c:v>
                </c:pt>
                <c:pt idx="381">
                  <c:v>1356</c:v>
                </c:pt>
                <c:pt idx="382">
                  <c:v>1640</c:v>
                </c:pt>
                <c:pt idx="383">
                  <c:v>973</c:v>
                </c:pt>
                <c:pt idx="384">
                  <c:v>4725</c:v>
                </c:pt>
                <c:pt idx="385">
                  <c:v>988</c:v>
                </c:pt>
                <c:pt idx="386">
                  <c:v>1796</c:v>
                </c:pt>
                <c:pt idx="387">
                  <c:v>3228</c:v>
                </c:pt>
                <c:pt idx="388">
                  <c:v>2952</c:v>
                </c:pt>
                <c:pt idx="389">
                  <c:v>1246</c:v>
                </c:pt>
                <c:pt idx="390">
                  <c:v>1425</c:v>
                </c:pt>
                <c:pt idx="391">
                  <c:v>1925</c:v>
                </c:pt>
                <c:pt idx="392">
                  <c:v>2250</c:v>
                </c:pt>
                <c:pt idx="393">
                  <c:v>1635</c:v>
                </c:pt>
                <c:pt idx="394">
                  <c:v>2324</c:v>
                </c:pt>
                <c:pt idx="395">
                  <c:v>2600</c:v>
                </c:pt>
                <c:pt idx="396">
                  <c:v>2100</c:v>
                </c:pt>
                <c:pt idx="397">
                  <c:v>2248</c:v>
                </c:pt>
                <c:pt idx="398">
                  <c:v>1216</c:v>
                </c:pt>
                <c:pt idx="399">
                  <c:v>1920</c:v>
                </c:pt>
                <c:pt idx="400">
                  <c:v>6180</c:v>
                </c:pt>
                <c:pt idx="401">
                  <c:v>1880</c:v>
                </c:pt>
                <c:pt idx="402">
                  <c:v>2543</c:v>
                </c:pt>
                <c:pt idx="403">
                  <c:v>1728</c:v>
                </c:pt>
                <c:pt idx="404">
                  <c:v>3350</c:v>
                </c:pt>
                <c:pt idx="405">
                  <c:v>1206</c:v>
                </c:pt>
                <c:pt idx="406">
                  <c:v>2440</c:v>
                </c:pt>
                <c:pt idx="407">
                  <c:v>3600</c:v>
                </c:pt>
                <c:pt idx="408">
                  <c:v>2771</c:v>
                </c:pt>
                <c:pt idx="409">
                  <c:v>2520</c:v>
                </c:pt>
                <c:pt idx="410">
                  <c:v>4000</c:v>
                </c:pt>
                <c:pt idx="411">
                  <c:v>1684</c:v>
                </c:pt>
                <c:pt idx="412">
                  <c:v>1372</c:v>
                </c:pt>
                <c:pt idx="413">
                  <c:v>990</c:v>
                </c:pt>
                <c:pt idx="414">
                  <c:v>2100</c:v>
                </c:pt>
                <c:pt idx="415">
                  <c:v>2703</c:v>
                </c:pt>
                <c:pt idx="416">
                  <c:v>1440</c:v>
                </c:pt>
                <c:pt idx="417">
                  <c:v>1496</c:v>
                </c:pt>
                <c:pt idx="418">
                  <c:v>1922</c:v>
                </c:pt>
                <c:pt idx="419">
                  <c:v>2324</c:v>
                </c:pt>
                <c:pt idx="420">
                  <c:v>1756</c:v>
                </c:pt>
                <c:pt idx="421">
                  <c:v>1594</c:v>
                </c:pt>
                <c:pt idx="422">
                  <c:v>1320</c:v>
                </c:pt>
                <c:pt idx="423">
                  <c:v>2580</c:v>
                </c:pt>
                <c:pt idx="424">
                  <c:v>2766</c:v>
                </c:pt>
                <c:pt idx="425">
                  <c:v>1184</c:v>
                </c:pt>
                <c:pt idx="426">
                  <c:v>1157</c:v>
                </c:pt>
                <c:pt idx="427">
                  <c:v>1392</c:v>
                </c:pt>
                <c:pt idx="428">
                  <c:v>1204</c:v>
                </c:pt>
                <c:pt idx="429">
                  <c:v>1785</c:v>
                </c:pt>
                <c:pt idx="430">
                  <c:v>1568</c:v>
                </c:pt>
                <c:pt idx="431">
                  <c:v>2733</c:v>
                </c:pt>
                <c:pt idx="432">
                  <c:v>1332</c:v>
                </c:pt>
                <c:pt idx="433">
                  <c:v>2200</c:v>
                </c:pt>
                <c:pt idx="434">
                  <c:v>5600</c:v>
                </c:pt>
                <c:pt idx="435">
                  <c:v>1620</c:v>
                </c:pt>
                <c:pt idx="436">
                  <c:v>3312</c:v>
                </c:pt>
                <c:pt idx="437">
                  <c:v>1492</c:v>
                </c:pt>
                <c:pt idx="438">
                  <c:v>1328</c:v>
                </c:pt>
                <c:pt idx="439">
                  <c:v>1380</c:v>
                </c:pt>
                <c:pt idx="440">
                  <c:v>676</c:v>
                </c:pt>
                <c:pt idx="441">
                  <c:v>2200</c:v>
                </c:pt>
                <c:pt idx="442">
                  <c:v>1920</c:v>
                </c:pt>
                <c:pt idx="443">
                  <c:v>1440</c:v>
                </c:pt>
                <c:pt idx="444">
                  <c:v>2420</c:v>
                </c:pt>
                <c:pt idx="445">
                  <c:v>1184</c:v>
                </c:pt>
                <c:pt idx="446">
                  <c:v>1036</c:v>
                </c:pt>
                <c:pt idx="447">
                  <c:v>1226</c:v>
                </c:pt>
                <c:pt idx="448">
                  <c:v>1360</c:v>
                </c:pt>
                <c:pt idx="449">
                  <c:v>2808</c:v>
                </c:pt>
                <c:pt idx="450">
                  <c:v>3040</c:v>
                </c:pt>
                <c:pt idx="451">
                  <c:v>2750</c:v>
                </c:pt>
                <c:pt idx="452">
                  <c:v>1845</c:v>
                </c:pt>
                <c:pt idx="453">
                  <c:v>2088</c:v>
                </c:pt>
                <c:pt idx="454">
                  <c:v>1296</c:v>
                </c:pt>
                <c:pt idx="455">
                  <c:v>1920</c:v>
                </c:pt>
                <c:pt idx="456">
                  <c:v>1230</c:v>
                </c:pt>
                <c:pt idx="457">
                  <c:v>1920</c:v>
                </c:pt>
                <c:pt idx="458">
                  <c:v>2610</c:v>
                </c:pt>
                <c:pt idx="459">
                  <c:v>1560</c:v>
                </c:pt>
                <c:pt idx="460">
                  <c:v>1500</c:v>
                </c:pt>
                <c:pt idx="461">
                  <c:v>1575</c:v>
                </c:pt>
                <c:pt idx="462">
                  <c:v>1890</c:v>
                </c:pt>
                <c:pt idx="463">
                  <c:v>2760</c:v>
                </c:pt>
                <c:pt idx="464">
                  <c:v>4050</c:v>
                </c:pt>
                <c:pt idx="465">
                  <c:v>2160</c:v>
                </c:pt>
                <c:pt idx="466">
                  <c:v>1140</c:v>
                </c:pt>
                <c:pt idx="467">
                  <c:v>2598</c:v>
                </c:pt>
                <c:pt idx="468">
                  <c:v>7000</c:v>
                </c:pt>
                <c:pt idx="469">
                  <c:v>2367</c:v>
                </c:pt>
                <c:pt idx="470">
                  <c:v>1280</c:v>
                </c:pt>
                <c:pt idx="471">
                  <c:v>1320</c:v>
                </c:pt>
                <c:pt idx="472">
                  <c:v>1800</c:v>
                </c:pt>
                <c:pt idx="473">
                  <c:v>4530</c:v>
                </c:pt>
                <c:pt idx="474">
                  <c:v>1290</c:v>
                </c:pt>
                <c:pt idx="475">
                  <c:v>1580</c:v>
                </c:pt>
                <c:pt idx="476">
                  <c:v>2400</c:v>
                </c:pt>
                <c:pt idx="477">
                  <c:v>3000</c:v>
                </c:pt>
                <c:pt idx="478">
                  <c:v>1630</c:v>
                </c:pt>
                <c:pt idx="479">
                  <c:v>3600</c:v>
                </c:pt>
                <c:pt idx="480">
                  <c:v>3052</c:v>
                </c:pt>
                <c:pt idx="481">
                  <c:v>3120</c:v>
                </c:pt>
                <c:pt idx="482">
                  <c:v>2700</c:v>
                </c:pt>
                <c:pt idx="483">
                  <c:v>2425</c:v>
                </c:pt>
                <c:pt idx="484">
                  <c:v>1698</c:v>
                </c:pt>
                <c:pt idx="485">
                  <c:v>2100</c:v>
                </c:pt>
                <c:pt idx="486">
                  <c:v>2808</c:v>
                </c:pt>
                <c:pt idx="487">
                  <c:v>868</c:v>
                </c:pt>
                <c:pt idx="488">
                  <c:v>2158</c:v>
                </c:pt>
                <c:pt idx="489">
                  <c:v>1759</c:v>
                </c:pt>
                <c:pt idx="490">
                  <c:v>2600</c:v>
                </c:pt>
                <c:pt idx="491">
                  <c:v>2104</c:v>
                </c:pt>
                <c:pt idx="492">
                  <c:v>1560</c:v>
                </c:pt>
                <c:pt idx="493">
                  <c:v>1215</c:v>
                </c:pt>
                <c:pt idx="494">
                  <c:v>1880</c:v>
                </c:pt>
                <c:pt idx="495">
                  <c:v>2457</c:v>
                </c:pt>
                <c:pt idx="496">
                  <c:v>2020</c:v>
                </c:pt>
                <c:pt idx="497">
                  <c:v>1278</c:v>
                </c:pt>
                <c:pt idx="498">
                  <c:v>1718</c:v>
                </c:pt>
                <c:pt idx="499">
                  <c:v>980</c:v>
                </c:pt>
              </c:numCache>
            </c:numRef>
          </c:xVal>
          <c:yVal>
            <c:numRef>
              <c:f>ChartSource!$N$2:$N$501</c:f>
              <c:numCache>
                <c:formatCode>General</c:formatCode>
                <c:ptCount val="500"/>
                <c:pt idx="0">
                  <c:v>350000</c:v>
                </c:pt>
                <c:pt idx="1">
                  <c:v>490000</c:v>
                </c:pt>
                <c:pt idx="2">
                  <c:v>425000</c:v>
                </c:pt>
                <c:pt idx="3">
                  <c:v>595000</c:v>
                </c:pt>
                <c:pt idx="4">
                  <c:v>435000</c:v>
                </c:pt>
                <c:pt idx="5">
                  <c:v>730000</c:v>
                </c:pt>
                <c:pt idx="6">
                  <c:v>450500</c:v>
                </c:pt>
                <c:pt idx="7">
                  <c:v>665000</c:v>
                </c:pt>
                <c:pt idx="8">
                  <c:v>376500</c:v>
                </c:pt>
                <c:pt idx="9">
                  <c:v>1400000</c:v>
                </c:pt>
                <c:pt idx="10">
                  <c:v>620000</c:v>
                </c:pt>
                <c:pt idx="11">
                  <c:v>525000</c:v>
                </c:pt>
                <c:pt idx="12">
                  <c:v>500000</c:v>
                </c:pt>
                <c:pt idx="13">
                  <c:v>480000</c:v>
                </c:pt>
                <c:pt idx="14">
                  <c:v>668500</c:v>
                </c:pt>
                <c:pt idx="15">
                  <c:v>725000</c:v>
                </c:pt>
                <c:pt idx="16">
                  <c:v>355000</c:v>
                </c:pt>
                <c:pt idx="17">
                  <c:v>1600000</c:v>
                </c:pt>
                <c:pt idx="18">
                  <c:v>662000</c:v>
                </c:pt>
                <c:pt idx="19">
                  <c:v>750000</c:v>
                </c:pt>
                <c:pt idx="20">
                  <c:v>715000</c:v>
                </c:pt>
                <c:pt idx="21">
                  <c:v>340000</c:v>
                </c:pt>
                <c:pt idx="22">
                  <c:v>763687</c:v>
                </c:pt>
                <c:pt idx="23">
                  <c:v>300500</c:v>
                </c:pt>
                <c:pt idx="24">
                  <c:v>395000</c:v>
                </c:pt>
                <c:pt idx="25">
                  <c:v>380000</c:v>
                </c:pt>
                <c:pt idx="26">
                  <c:v>624500</c:v>
                </c:pt>
                <c:pt idx="27">
                  <c:v>477000</c:v>
                </c:pt>
                <c:pt idx="28">
                  <c:v>520000</c:v>
                </c:pt>
                <c:pt idx="29">
                  <c:v>1350000</c:v>
                </c:pt>
                <c:pt idx="30">
                  <c:v>171616</c:v>
                </c:pt>
                <c:pt idx="31">
                  <c:v>460000</c:v>
                </c:pt>
                <c:pt idx="32">
                  <c:v>223000</c:v>
                </c:pt>
                <c:pt idx="33">
                  <c:v>800000</c:v>
                </c:pt>
                <c:pt idx="34">
                  <c:v>222180</c:v>
                </c:pt>
                <c:pt idx="35">
                  <c:v>375000</c:v>
                </c:pt>
                <c:pt idx="36">
                  <c:v>940000</c:v>
                </c:pt>
                <c:pt idx="37">
                  <c:v>1800000</c:v>
                </c:pt>
                <c:pt idx="38">
                  <c:v>220000</c:v>
                </c:pt>
                <c:pt idx="39">
                  <c:v>365040</c:v>
                </c:pt>
                <c:pt idx="40">
                  <c:v>60000</c:v>
                </c:pt>
                <c:pt idx="41">
                  <c:v>272250</c:v>
                </c:pt>
                <c:pt idx="42">
                  <c:v>460000</c:v>
                </c:pt>
                <c:pt idx="43">
                  <c:v>395460</c:v>
                </c:pt>
                <c:pt idx="44">
                  <c:v>890000</c:v>
                </c:pt>
                <c:pt idx="45">
                  <c:v>500000</c:v>
                </c:pt>
                <c:pt idx="46">
                  <c:v>970000</c:v>
                </c:pt>
                <c:pt idx="47">
                  <c:v>600000</c:v>
                </c:pt>
                <c:pt idx="48">
                  <c:v>200000</c:v>
                </c:pt>
                <c:pt idx="49">
                  <c:v>520000</c:v>
                </c:pt>
                <c:pt idx="50">
                  <c:v>530000</c:v>
                </c:pt>
                <c:pt idx="51">
                  <c:v>330000</c:v>
                </c:pt>
                <c:pt idx="52">
                  <c:v>520000</c:v>
                </c:pt>
                <c:pt idx="53">
                  <c:v>388000</c:v>
                </c:pt>
                <c:pt idx="54">
                  <c:v>152500</c:v>
                </c:pt>
                <c:pt idx="55">
                  <c:v>600000</c:v>
                </c:pt>
                <c:pt idx="56">
                  <c:v>500000</c:v>
                </c:pt>
                <c:pt idx="57">
                  <c:v>610790</c:v>
                </c:pt>
                <c:pt idx="58">
                  <c:v>1700000</c:v>
                </c:pt>
                <c:pt idx="59">
                  <c:v>700000</c:v>
                </c:pt>
                <c:pt idx="60">
                  <c:v>297000</c:v>
                </c:pt>
                <c:pt idx="61">
                  <c:v>619000</c:v>
                </c:pt>
                <c:pt idx="62">
                  <c:v>555000</c:v>
                </c:pt>
                <c:pt idx="63">
                  <c:v>789144</c:v>
                </c:pt>
                <c:pt idx="64">
                  <c:v>562000</c:v>
                </c:pt>
                <c:pt idx="65">
                  <c:v>1375000</c:v>
                </c:pt>
                <c:pt idx="66">
                  <c:v>415000</c:v>
                </c:pt>
                <c:pt idx="67">
                  <c:v>1150000</c:v>
                </c:pt>
                <c:pt idx="68">
                  <c:v>799326</c:v>
                </c:pt>
                <c:pt idx="69">
                  <c:v>87500</c:v>
                </c:pt>
                <c:pt idx="70">
                  <c:v>225000</c:v>
                </c:pt>
                <c:pt idx="71">
                  <c:v>439062</c:v>
                </c:pt>
                <c:pt idx="72">
                  <c:v>387000</c:v>
                </c:pt>
                <c:pt idx="73">
                  <c:v>360400</c:v>
                </c:pt>
                <c:pt idx="74">
                  <c:v>470000</c:v>
                </c:pt>
                <c:pt idx="75">
                  <c:v>489900</c:v>
                </c:pt>
                <c:pt idx="76">
                  <c:v>755500</c:v>
                </c:pt>
                <c:pt idx="77">
                  <c:v>485706</c:v>
                </c:pt>
                <c:pt idx="78">
                  <c:v>1050000</c:v>
                </c:pt>
                <c:pt idx="79">
                  <c:v>350000</c:v>
                </c:pt>
                <c:pt idx="80">
                  <c:v>488577</c:v>
                </c:pt>
                <c:pt idx="81">
                  <c:v>2700000</c:v>
                </c:pt>
                <c:pt idx="82">
                  <c:v>510000</c:v>
                </c:pt>
                <c:pt idx="83">
                  <c:v>870000</c:v>
                </c:pt>
                <c:pt idx="84">
                  <c:v>250000</c:v>
                </c:pt>
                <c:pt idx="85">
                  <c:v>380000</c:v>
                </c:pt>
                <c:pt idx="86">
                  <c:v>890000</c:v>
                </c:pt>
                <c:pt idx="87">
                  <c:v>371000</c:v>
                </c:pt>
                <c:pt idx="88">
                  <c:v>600000</c:v>
                </c:pt>
                <c:pt idx="89">
                  <c:v>773870</c:v>
                </c:pt>
                <c:pt idx="90">
                  <c:v>609000</c:v>
                </c:pt>
                <c:pt idx="91">
                  <c:v>580000</c:v>
                </c:pt>
                <c:pt idx="92">
                  <c:v>551000</c:v>
                </c:pt>
                <c:pt idx="93">
                  <c:v>677136</c:v>
                </c:pt>
                <c:pt idx="94">
                  <c:v>3750000</c:v>
                </c:pt>
                <c:pt idx="95">
                  <c:v>330000</c:v>
                </c:pt>
                <c:pt idx="96">
                  <c:v>220000</c:v>
                </c:pt>
                <c:pt idx="97">
                  <c:v>425000</c:v>
                </c:pt>
                <c:pt idx="98">
                  <c:v>700000</c:v>
                </c:pt>
                <c:pt idx="99">
                  <c:v>333334</c:v>
                </c:pt>
                <c:pt idx="100">
                  <c:v>2400000</c:v>
                </c:pt>
                <c:pt idx="101">
                  <c:v>328500</c:v>
                </c:pt>
                <c:pt idx="102">
                  <c:v>675000</c:v>
                </c:pt>
                <c:pt idx="103">
                  <c:v>790000</c:v>
                </c:pt>
                <c:pt idx="104">
                  <c:v>450000</c:v>
                </c:pt>
                <c:pt idx="105">
                  <c:v>12000</c:v>
                </c:pt>
                <c:pt idx="106">
                  <c:v>1495000</c:v>
                </c:pt>
                <c:pt idx="107">
                  <c:v>2120000</c:v>
                </c:pt>
                <c:pt idx="108">
                  <c:v>1225000</c:v>
                </c:pt>
                <c:pt idx="109">
                  <c:v>481758</c:v>
                </c:pt>
                <c:pt idx="110">
                  <c:v>593600</c:v>
                </c:pt>
                <c:pt idx="111">
                  <c:v>750000</c:v>
                </c:pt>
                <c:pt idx="112">
                  <c:v>416605</c:v>
                </c:pt>
                <c:pt idx="113">
                  <c:v>2300000</c:v>
                </c:pt>
                <c:pt idx="114">
                  <c:v>395000</c:v>
                </c:pt>
                <c:pt idx="115">
                  <c:v>1680000</c:v>
                </c:pt>
                <c:pt idx="116">
                  <c:v>350000</c:v>
                </c:pt>
                <c:pt idx="117">
                  <c:v>400000</c:v>
                </c:pt>
                <c:pt idx="118">
                  <c:v>690000</c:v>
                </c:pt>
                <c:pt idx="119">
                  <c:v>273000</c:v>
                </c:pt>
                <c:pt idx="120">
                  <c:v>495000</c:v>
                </c:pt>
                <c:pt idx="121">
                  <c:v>460000</c:v>
                </c:pt>
                <c:pt idx="122">
                  <c:v>2600000</c:v>
                </c:pt>
                <c:pt idx="123">
                  <c:v>279511</c:v>
                </c:pt>
                <c:pt idx="124">
                  <c:v>592000</c:v>
                </c:pt>
                <c:pt idx="125">
                  <c:v>435000</c:v>
                </c:pt>
                <c:pt idx="126">
                  <c:v>288400</c:v>
                </c:pt>
                <c:pt idx="127">
                  <c:v>200000</c:v>
                </c:pt>
                <c:pt idx="128">
                  <c:v>327500</c:v>
                </c:pt>
                <c:pt idx="129">
                  <c:v>400000</c:v>
                </c:pt>
                <c:pt idx="130">
                  <c:v>200000</c:v>
                </c:pt>
                <c:pt idx="131">
                  <c:v>465000</c:v>
                </c:pt>
                <c:pt idx="132">
                  <c:v>180000</c:v>
                </c:pt>
                <c:pt idx="133">
                  <c:v>680000</c:v>
                </c:pt>
                <c:pt idx="134">
                  <c:v>265798</c:v>
                </c:pt>
                <c:pt idx="135">
                  <c:v>825000</c:v>
                </c:pt>
                <c:pt idx="136">
                  <c:v>339000</c:v>
                </c:pt>
                <c:pt idx="137">
                  <c:v>980000</c:v>
                </c:pt>
                <c:pt idx="138">
                  <c:v>650000</c:v>
                </c:pt>
                <c:pt idx="139">
                  <c:v>581900</c:v>
                </c:pt>
                <c:pt idx="140">
                  <c:v>566637</c:v>
                </c:pt>
                <c:pt idx="141">
                  <c:v>470000</c:v>
                </c:pt>
                <c:pt idx="142">
                  <c:v>1275000</c:v>
                </c:pt>
                <c:pt idx="143">
                  <c:v>420000</c:v>
                </c:pt>
                <c:pt idx="144">
                  <c:v>560000</c:v>
                </c:pt>
                <c:pt idx="145">
                  <c:v>375000</c:v>
                </c:pt>
                <c:pt idx="146">
                  <c:v>1645000</c:v>
                </c:pt>
                <c:pt idx="147">
                  <c:v>950000</c:v>
                </c:pt>
                <c:pt idx="148">
                  <c:v>501930</c:v>
                </c:pt>
                <c:pt idx="149">
                  <c:v>1900000</c:v>
                </c:pt>
                <c:pt idx="150">
                  <c:v>215000</c:v>
                </c:pt>
                <c:pt idx="151">
                  <c:v>500000</c:v>
                </c:pt>
                <c:pt idx="152">
                  <c:v>1050000</c:v>
                </c:pt>
                <c:pt idx="153">
                  <c:v>440000</c:v>
                </c:pt>
                <c:pt idx="154">
                  <c:v>35000</c:v>
                </c:pt>
                <c:pt idx="155">
                  <c:v>487000</c:v>
                </c:pt>
                <c:pt idx="156">
                  <c:v>965000</c:v>
                </c:pt>
                <c:pt idx="157">
                  <c:v>480000</c:v>
                </c:pt>
                <c:pt idx="158">
                  <c:v>435000</c:v>
                </c:pt>
                <c:pt idx="159">
                  <c:v>220000</c:v>
                </c:pt>
                <c:pt idx="160">
                  <c:v>505000</c:v>
                </c:pt>
                <c:pt idx="161">
                  <c:v>1082000</c:v>
                </c:pt>
                <c:pt idx="162">
                  <c:v>1300000</c:v>
                </c:pt>
                <c:pt idx="163">
                  <c:v>550000</c:v>
                </c:pt>
                <c:pt idx="164">
                  <c:v>485000</c:v>
                </c:pt>
                <c:pt idx="165">
                  <c:v>870000</c:v>
                </c:pt>
                <c:pt idx="166">
                  <c:v>635000</c:v>
                </c:pt>
                <c:pt idx="167">
                  <c:v>1200000</c:v>
                </c:pt>
                <c:pt idx="168">
                  <c:v>2800000</c:v>
                </c:pt>
                <c:pt idx="169">
                  <c:v>203000</c:v>
                </c:pt>
                <c:pt idx="170">
                  <c:v>490000</c:v>
                </c:pt>
                <c:pt idx="171">
                  <c:v>920000</c:v>
                </c:pt>
                <c:pt idx="172">
                  <c:v>330000</c:v>
                </c:pt>
                <c:pt idx="173">
                  <c:v>650000</c:v>
                </c:pt>
                <c:pt idx="174">
                  <c:v>100000</c:v>
                </c:pt>
                <c:pt idx="175">
                  <c:v>515000</c:v>
                </c:pt>
                <c:pt idx="176">
                  <c:v>380000</c:v>
                </c:pt>
                <c:pt idx="177">
                  <c:v>522511</c:v>
                </c:pt>
                <c:pt idx="178">
                  <c:v>1110000</c:v>
                </c:pt>
                <c:pt idx="179">
                  <c:v>535000</c:v>
                </c:pt>
                <c:pt idx="180">
                  <c:v>430000</c:v>
                </c:pt>
                <c:pt idx="181">
                  <c:v>379900</c:v>
                </c:pt>
                <c:pt idx="182">
                  <c:v>950000</c:v>
                </c:pt>
                <c:pt idx="183">
                  <c:v>680000</c:v>
                </c:pt>
                <c:pt idx="184">
                  <c:v>180197</c:v>
                </c:pt>
                <c:pt idx="185">
                  <c:v>638000</c:v>
                </c:pt>
                <c:pt idx="186">
                  <c:v>850000</c:v>
                </c:pt>
                <c:pt idx="187">
                  <c:v>380000</c:v>
                </c:pt>
                <c:pt idx="188">
                  <c:v>350000</c:v>
                </c:pt>
                <c:pt idx="189">
                  <c:v>622000</c:v>
                </c:pt>
                <c:pt idx="190">
                  <c:v>875000</c:v>
                </c:pt>
                <c:pt idx="191">
                  <c:v>695000</c:v>
                </c:pt>
                <c:pt idx="192">
                  <c:v>375180</c:v>
                </c:pt>
                <c:pt idx="193">
                  <c:v>535000</c:v>
                </c:pt>
                <c:pt idx="194">
                  <c:v>459756</c:v>
                </c:pt>
                <c:pt idx="195">
                  <c:v>925000</c:v>
                </c:pt>
                <c:pt idx="196">
                  <c:v>519389</c:v>
                </c:pt>
                <c:pt idx="197">
                  <c:v>640000</c:v>
                </c:pt>
                <c:pt idx="198">
                  <c:v>283250</c:v>
                </c:pt>
                <c:pt idx="199">
                  <c:v>655000</c:v>
                </c:pt>
                <c:pt idx="200">
                  <c:v>729000</c:v>
                </c:pt>
                <c:pt idx="201">
                  <c:v>565000</c:v>
                </c:pt>
                <c:pt idx="202">
                  <c:v>6400000</c:v>
                </c:pt>
                <c:pt idx="203">
                  <c:v>475000</c:v>
                </c:pt>
                <c:pt idx="204">
                  <c:v>960000</c:v>
                </c:pt>
                <c:pt idx="205">
                  <c:v>400000</c:v>
                </c:pt>
                <c:pt idx="206">
                  <c:v>360000</c:v>
                </c:pt>
                <c:pt idx="207">
                  <c:v>1750000</c:v>
                </c:pt>
                <c:pt idx="208">
                  <c:v>825000</c:v>
                </c:pt>
                <c:pt idx="209">
                  <c:v>373000</c:v>
                </c:pt>
                <c:pt idx="210">
                  <c:v>555000</c:v>
                </c:pt>
                <c:pt idx="211">
                  <c:v>815000</c:v>
                </c:pt>
                <c:pt idx="212">
                  <c:v>590000</c:v>
                </c:pt>
                <c:pt idx="213">
                  <c:v>1050000</c:v>
                </c:pt>
                <c:pt idx="214">
                  <c:v>700000</c:v>
                </c:pt>
                <c:pt idx="215">
                  <c:v>595000</c:v>
                </c:pt>
                <c:pt idx="216">
                  <c:v>510000</c:v>
                </c:pt>
                <c:pt idx="217">
                  <c:v>965000</c:v>
                </c:pt>
                <c:pt idx="218">
                  <c:v>500000</c:v>
                </c:pt>
                <c:pt idx="219">
                  <c:v>775000</c:v>
                </c:pt>
                <c:pt idx="220">
                  <c:v>410000</c:v>
                </c:pt>
                <c:pt idx="221">
                  <c:v>1075000</c:v>
                </c:pt>
                <c:pt idx="222">
                  <c:v>180000</c:v>
                </c:pt>
                <c:pt idx="223">
                  <c:v>2350000</c:v>
                </c:pt>
                <c:pt idx="224">
                  <c:v>625000</c:v>
                </c:pt>
                <c:pt idx="225">
                  <c:v>750000</c:v>
                </c:pt>
                <c:pt idx="226">
                  <c:v>311000</c:v>
                </c:pt>
                <c:pt idx="227">
                  <c:v>374000</c:v>
                </c:pt>
                <c:pt idx="228">
                  <c:v>1220000</c:v>
                </c:pt>
                <c:pt idx="229">
                  <c:v>720000</c:v>
                </c:pt>
                <c:pt idx="230">
                  <c:v>2100000</c:v>
                </c:pt>
                <c:pt idx="231">
                  <c:v>425000</c:v>
                </c:pt>
                <c:pt idx="232">
                  <c:v>1975000</c:v>
                </c:pt>
                <c:pt idx="233">
                  <c:v>244500</c:v>
                </c:pt>
                <c:pt idx="234">
                  <c:v>600000</c:v>
                </c:pt>
                <c:pt idx="235">
                  <c:v>670000</c:v>
                </c:pt>
                <c:pt idx="236">
                  <c:v>990000</c:v>
                </c:pt>
                <c:pt idx="237">
                  <c:v>635000</c:v>
                </c:pt>
                <c:pt idx="238">
                  <c:v>590000</c:v>
                </c:pt>
                <c:pt idx="239">
                  <c:v>761141</c:v>
                </c:pt>
                <c:pt idx="240">
                  <c:v>165000</c:v>
                </c:pt>
                <c:pt idx="241">
                  <c:v>225000</c:v>
                </c:pt>
                <c:pt idx="242">
                  <c:v>430000</c:v>
                </c:pt>
                <c:pt idx="243">
                  <c:v>479999</c:v>
                </c:pt>
                <c:pt idx="244">
                  <c:v>1060000</c:v>
                </c:pt>
                <c:pt idx="245">
                  <c:v>330000</c:v>
                </c:pt>
                <c:pt idx="246">
                  <c:v>320000</c:v>
                </c:pt>
                <c:pt idx="247">
                  <c:v>810000</c:v>
                </c:pt>
                <c:pt idx="248">
                  <c:v>300000</c:v>
                </c:pt>
                <c:pt idx="249">
                  <c:v>3295000</c:v>
                </c:pt>
                <c:pt idx="250">
                  <c:v>427450</c:v>
                </c:pt>
                <c:pt idx="251">
                  <c:v>115000</c:v>
                </c:pt>
                <c:pt idx="252">
                  <c:v>740000</c:v>
                </c:pt>
                <c:pt idx="253">
                  <c:v>331500</c:v>
                </c:pt>
                <c:pt idx="254">
                  <c:v>418000</c:v>
                </c:pt>
                <c:pt idx="255">
                  <c:v>880000</c:v>
                </c:pt>
                <c:pt idx="256">
                  <c:v>470000</c:v>
                </c:pt>
                <c:pt idx="257">
                  <c:v>480000</c:v>
                </c:pt>
                <c:pt idx="258">
                  <c:v>182272</c:v>
                </c:pt>
                <c:pt idx="259">
                  <c:v>565000</c:v>
                </c:pt>
                <c:pt idx="260">
                  <c:v>182000</c:v>
                </c:pt>
                <c:pt idx="261">
                  <c:v>250000</c:v>
                </c:pt>
                <c:pt idx="262">
                  <c:v>567100</c:v>
                </c:pt>
                <c:pt idx="263">
                  <c:v>479550</c:v>
                </c:pt>
                <c:pt idx="264">
                  <c:v>725000</c:v>
                </c:pt>
                <c:pt idx="265">
                  <c:v>385000</c:v>
                </c:pt>
                <c:pt idx="266">
                  <c:v>356300</c:v>
                </c:pt>
                <c:pt idx="267">
                  <c:v>585493</c:v>
                </c:pt>
                <c:pt idx="268">
                  <c:v>5750000</c:v>
                </c:pt>
                <c:pt idx="269">
                  <c:v>276600</c:v>
                </c:pt>
                <c:pt idx="270">
                  <c:v>775000</c:v>
                </c:pt>
                <c:pt idx="271">
                  <c:v>301600</c:v>
                </c:pt>
                <c:pt idx="272">
                  <c:v>820000</c:v>
                </c:pt>
                <c:pt idx="273">
                  <c:v>615000</c:v>
                </c:pt>
                <c:pt idx="274">
                  <c:v>415000</c:v>
                </c:pt>
                <c:pt idx="275">
                  <c:v>850000</c:v>
                </c:pt>
                <c:pt idx="276">
                  <c:v>693000</c:v>
                </c:pt>
                <c:pt idx="277">
                  <c:v>289000</c:v>
                </c:pt>
                <c:pt idx="278">
                  <c:v>580000</c:v>
                </c:pt>
                <c:pt idx="279">
                  <c:v>1091800</c:v>
                </c:pt>
                <c:pt idx="280">
                  <c:v>623823</c:v>
                </c:pt>
                <c:pt idx="281">
                  <c:v>499900</c:v>
                </c:pt>
                <c:pt idx="282">
                  <c:v>750000</c:v>
                </c:pt>
                <c:pt idx="283">
                  <c:v>610000</c:v>
                </c:pt>
                <c:pt idx="284">
                  <c:v>1250000</c:v>
                </c:pt>
                <c:pt idx="285">
                  <c:v>535000</c:v>
                </c:pt>
                <c:pt idx="286">
                  <c:v>535000</c:v>
                </c:pt>
                <c:pt idx="287">
                  <c:v>365000</c:v>
                </c:pt>
                <c:pt idx="288">
                  <c:v>690000</c:v>
                </c:pt>
                <c:pt idx="289">
                  <c:v>712000</c:v>
                </c:pt>
                <c:pt idx="290">
                  <c:v>1825000</c:v>
                </c:pt>
                <c:pt idx="291">
                  <c:v>235000</c:v>
                </c:pt>
                <c:pt idx="292">
                  <c:v>180000</c:v>
                </c:pt>
                <c:pt idx="293">
                  <c:v>185000</c:v>
                </c:pt>
                <c:pt idx="294">
                  <c:v>320000</c:v>
                </c:pt>
                <c:pt idx="295">
                  <c:v>535000</c:v>
                </c:pt>
                <c:pt idx="296">
                  <c:v>260000</c:v>
                </c:pt>
                <c:pt idx="297">
                  <c:v>594000</c:v>
                </c:pt>
                <c:pt idx="298">
                  <c:v>658000</c:v>
                </c:pt>
                <c:pt idx="299">
                  <c:v>1150000</c:v>
                </c:pt>
                <c:pt idx="300">
                  <c:v>465000</c:v>
                </c:pt>
                <c:pt idx="301">
                  <c:v>465000</c:v>
                </c:pt>
                <c:pt idx="302">
                  <c:v>979000</c:v>
                </c:pt>
                <c:pt idx="303">
                  <c:v>76850</c:v>
                </c:pt>
                <c:pt idx="304">
                  <c:v>500000</c:v>
                </c:pt>
                <c:pt idx="305">
                  <c:v>796000</c:v>
                </c:pt>
                <c:pt idx="306">
                  <c:v>450000</c:v>
                </c:pt>
                <c:pt idx="307">
                  <c:v>458000</c:v>
                </c:pt>
                <c:pt idx="308">
                  <c:v>225000</c:v>
                </c:pt>
                <c:pt idx="309">
                  <c:v>325000</c:v>
                </c:pt>
                <c:pt idx="310">
                  <c:v>1500000</c:v>
                </c:pt>
                <c:pt idx="311">
                  <c:v>650000</c:v>
                </c:pt>
                <c:pt idx="312">
                  <c:v>160000</c:v>
                </c:pt>
                <c:pt idx="313">
                  <c:v>585000</c:v>
                </c:pt>
                <c:pt idx="314">
                  <c:v>1150000</c:v>
                </c:pt>
                <c:pt idx="315">
                  <c:v>790000</c:v>
                </c:pt>
                <c:pt idx="316">
                  <c:v>595676</c:v>
                </c:pt>
                <c:pt idx="317">
                  <c:v>490000</c:v>
                </c:pt>
                <c:pt idx="318">
                  <c:v>450000</c:v>
                </c:pt>
                <c:pt idx="319">
                  <c:v>350000</c:v>
                </c:pt>
                <c:pt idx="320">
                  <c:v>1050000</c:v>
                </c:pt>
                <c:pt idx="321">
                  <c:v>475000</c:v>
                </c:pt>
                <c:pt idx="322">
                  <c:v>289900</c:v>
                </c:pt>
                <c:pt idx="323">
                  <c:v>790000</c:v>
                </c:pt>
                <c:pt idx="324">
                  <c:v>578000</c:v>
                </c:pt>
                <c:pt idx="325">
                  <c:v>1240000</c:v>
                </c:pt>
                <c:pt idx="326">
                  <c:v>320000</c:v>
                </c:pt>
                <c:pt idx="327">
                  <c:v>550000</c:v>
                </c:pt>
                <c:pt idx="328">
                  <c:v>520000</c:v>
                </c:pt>
                <c:pt idx="329">
                  <c:v>187500</c:v>
                </c:pt>
                <c:pt idx="330">
                  <c:v>999000</c:v>
                </c:pt>
                <c:pt idx="331">
                  <c:v>450000</c:v>
                </c:pt>
                <c:pt idx="332">
                  <c:v>820000</c:v>
                </c:pt>
                <c:pt idx="333">
                  <c:v>898000</c:v>
                </c:pt>
                <c:pt idx="334">
                  <c:v>948000</c:v>
                </c:pt>
                <c:pt idx="335">
                  <c:v>30000</c:v>
                </c:pt>
                <c:pt idx="336">
                  <c:v>499000</c:v>
                </c:pt>
                <c:pt idx="337">
                  <c:v>1750000</c:v>
                </c:pt>
                <c:pt idx="338">
                  <c:v>668000</c:v>
                </c:pt>
                <c:pt idx="339">
                  <c:v>970000</c:v>
                </c:pt>
                <c:pt idx="340">
                  <c:v>137500</c:v>
                </c:pt>
                <c:pt idx="341">
                  <c:v>330000</c:v>
                </c:pt>
                <c:pt idx="342">
                  <c:v>550000</c:v>
                </c:pt>
                <c:pt idx="343">
                  <c:v>520000</c:v>
                </c:pt>
                <c:pt idx="344">
                  <c:v>408000</c:v>
                </c:pt>
                <c:pt idx="345">
                  <c:v>480000</c:v>
                </c:pt>
                <c:pt idx="346">
                  <c:v>500000</c:v>
                </c:pt>
                <c:pt idx="347">
                  <c:v>445000</c:v>
                </c:pt>
                <c:pt idx="348">
                  <c:v>380000</c:v>
                </c:pt>
                <c:pt idx="349">
                  <c:v>555000</c:v>
                </c:pt>
                <c:pt idx="350">
                  <c:v>785000</c:v>
                </c:pt>
                <c:pt idx="351">
                  <c:v>1629200</c:v>
                </c:pt>
                <c:pt idx="352">
                  <c:v>220000</c:v>
                </c:pt>
                <c:pt idx="353">
                  <c:v>1200000</c:v>
                </c:pt>
                <c:pt idx="354">
                  <c:v>320000</c:v>
                </c:pt>
                <c:pt idx="355">
                  <c:v>385500</c:v>
                </c:pt>
                <c:pt idx="356">
                  <c:v>615000</c:v>
                </c:pt>
                <c:pt idx="357">
                  <c:v>472500</c:v>
                </c:pt>
                <c:pt idx="358">
                  <c:v>95199</c:v>
                </c:pt>
                <c:pt idx="359">
                  <c:v>450000</c:v>
                </c:pt>
                <c:pt idx="360">
                  <c:v>775000</c:v>
                </c:pt>
                <c:pt idx="361">
                  <c:v>690000</c:v>
                </c:pt>
                <c:pt idx="362">
                  <c:v>725000</c:v>
                </c:pt>
                <c:pt idx="363">
                  <c:v>356427</c:v>
                </c:pt>
                <c:pt idx="364">
                  <c:v>798000</c:v>
                </c:pt>
                <c:pt idx="365">
                  <c:v>592000</c:v>
                </c:pt>
                <c:pt idx="366">
                  <c:v>585000</c:v>
                </c:pt>
                <c:pt idx="367">
                  <c:v>1350000</c:v>
                </c:pt>
                <c:pt idx="368">
                  <c:v>1300000</c:v>
                </c:pt>
                <c:pt idx="369">
                  <c:v>1743000</c:v>
                </c:pt>
                <c:pt idx="370">
                  <c:v>875000</c:v>
                </c:pt>
                <c:pt idx="371">
                  <c:v>305000</c:v>
                </c:pt>
                <c:pt idx="372">
                  <c:v>680000</c:v>
                </c:pt>
                <c:pt idx="373">
                  <c:v>2100000</c:v>
                </c:pt>
                <c:pt idx="374">
                  <c:v>561116</c:v>
                </c:pt>
                <c:pt idx="375">
                  <c:v>370000</c:v>
                </c:pt>
                <c:pt idx="376">
                  <c:v>3825000</c:v>
                </c:pt>
                <c:pt idx="377">
                  <c:v>473000</c:v>
                </c:pt>
                <c:pt idx="378">
                  <c:v>505500</c:v>
                </c:pt>
                <c:pt idx="379">
                  <c:v>680000</c:v>
                </c:pt>
                <c:pt idx="380">
                  <c:v>1420000</c:v>
                </c:pt>
                <c:pt idx="381">
                  <c:v>315000</c:v>
                </c:pt>
                <c:pt idx="382">
                  <c:v>1250000</c:v>
                </c:pt>
                <c:pt idx="383">
                  <c:v>780000</c:v>
                </c:pt>
                <c:pt idx="384">
                  <c:v>1725000</c:v>
                </c:pt>
                <c:pt idx="385">
                  <c:v>475000</c:v>
                </c:pt>
                <c:pt idx="386">
                  <c:v>510000</c:v>
                </c:pt>
                <c:pt idx="387">
                  <c:v>1250000</c:v>
                </c:pt>
                <c:pt idx="388">
                  <c:v>2134000</c:v>
                </c:pt>
                <c:pt idx="389">
                  <c:v>392000</c:v>
                </c:pt>
                <c:pt idx="390">
                  <c:v>1750000</c:v>
                </c:pt>
                <c:pt idx="391">
                  <c:v>265000</c:v>
                </c:pt>
                <c:pt idx="392">
                  <c:v>805000</c:v>
                </c:pt>
                <c:pt idx="393">
                  <c:v>302400</c:v>
                </c:pt>
                <c:pt idx="394">
                  <c:v>295000</c:v>
                </c:pt>
                <c:pt idx="395">
                  <c:v>480000</c:v>
                </c:pt>
                <c:pt idx="396">
                  <c:v>700000</c:v>
                </c:pt>
                <c:pt idx="397">
                  <c:v>580000</c:v>
                </c:pt>
                <c:pt idx="398">
                  <c:v>370000</c:v>
                </c:pt>
                <c:pt idx="399">
                  <c:v>612000</c:v>
                </c:pt>
                <c:pt idx="400">
                  <c:v>1150000</c:v>
                </c:pt>
                <c:pt idx="401">
                  <c:v>648000</c:v>
                </c:pt>
                <c:pt idx="402">
                  <c:v>1350000</c:v>
                </c:pt>
                <c:pt idx="403">
                  <c:v>725000</c:v>
                </c:pt>
                <c:pt idx="404">
                  <c:v>707000</c:v>
                </c:pt>
                <c:pt idx="405">
                  <c:v>240000</c:v>
                </c:pt>
                <c:pt idx="406">
                  <c:v>596500</c:v>
                </c:pt>
                <c:pt idx="407">
                  <c:v>325000</c:v>
                </c:pt>
                <c:pt idx="408">
                  <c:v>910000</c:v>
                </c:pt>
                <c:pt idx="409">
                  <c:v>825000</c:v>
                </c:pt>
                <c:pt idx="410">
                  <c:v>620000</c:v>
                </c:pt>
                <c:pt idx="411">
                  <c:v>900000</c:v>
                </c:pt>
                <c:pt idx="412">
                  <c:v>400000</c:v>
                </c:pt>
                <c:pt idx="413">
                  <c:v>980000</c:v>
                </c:pt>
                <c:pt idx="414">
                  <c:v>250000</c:v>
                </c:pt>
                <c:pt idx="415">
                  <c:v>495000</c:v>
                </c:pt>
                <c:pt idx="416">
                  <c:v>460000</c:v>
                </c:pt>
                <c:pt idx="417">
                  <c:v>715000</c:v>
                </c:pt>
                <c:pt idx="418">
                  <c:v>385000</c:v>
                </c:pt>
                <c:pt idx="419">
                  <c:v>435000</c:v>
                </c:pt>
                <c:pt idx="420">
                  <c:v>370000</c:v>
                </c:pt>
                <c:pt idx="421">
                  <c:v>283000</c:v>
                </c:pt>
                <c:pt idx="422">
                  <c:v>170000</c:v>
                </c:pt>
                <c:pt idx="423">
                  <c:v>630000</c:v>
                </c:pt>
                <c:pt idx="424">
                  <c:v>470000</c:v>
                </c:pt>
                <c:pt idx="425">
                  <c:v>350000</c:v>
                </c:pt>
                <c:pt idx="426">
                  <c:v>770000</c:v>
                </c:pt>
                <c:pt idx="427">
                  <c:v>305910</c:v>
                </c:pt>
                <c:pt idx="428">
                  <c:v>785000</c:v>
                </c:pt>
                <c:pt idx="429">
                  <c:v>515000</c:v>
                </c:pt>
                <c:pt idx="430">
                  <c:v>660000</c:v>
                </c:pt>
                <c:pt idx="431">
                  <c:v>800000</c:v>
                </c:pt>
                <c:pt idx="432">
                  <c:v>535000</c:v>
                </c:pt>
                <c:pt idx="433">
                  <c:v>815000</c:v>
                </c:pt>
                <c:pt idx="434">
                  <c:v>580000</c:v>
                </c:pt>
                <c:pt idx="435">
                  <c:v>280000</c:v>
                </c:pt>
                <c:pt idx="436">
                  <c:v>439900</c:v>
                </c:pt>
                <c:pt idx="437">
                  <c:v>1750000</c:v>
                </c:pt>
                <c:pt idx="438">
                  <c:v>240000</c:v>
                </c:pt>
                <c:pt idx="439">
                  <c:v>370000</c:v>
                </c:pt>
                <c:pt idx="440">
                  <c:v>149500</c:v>
                </c:pt>
                <c:pt idx="441">
                  <c:v>400000</c:v>
                </c:pt>
                <c:pt idx="442">
                  <c:v>1145000</c:v>
                </c:pt>
                <c:pt idx="443">
                  <c:v>790000</c:v>
                </c:pt>
                <c:pt idx="444">
                  <c:v>435000</c:v>
                </c:pt>
                <c:pt idx="445">
                  <c:v>383500</c:v>
                </c:pt>
                <c:pt idx="446">
                  <c:v>375000</c:v>
                </c:pt>
                <c:pt idx="447">
                  <c:v>315000</c:v>
                </c:pt>
                <c:pt idx="448">
                  <c:v>655000</c:v>
                </c:pt>
                <c:pt idx="449">
                  <c:v>829837</c:v>
                </c:pt>
                <c:pt idx="450">
                  <c:v>1540000</c:v>
                </c:pt>
                <c:pt idx="451">
                  <c:v>915000</c:v>
                </c:pt>
                <c:pt idx="452">
                  <c:v>391400</c:v>
                </c:pt>
                <c:pt idx="453">
                  <c:v>725000</c:v>
                </c:pt>
                <c:pt idx="454">
                  <c:v>306662</c:v>
                </c:pt>
                <c:pt idx="455">
                  <c:v>338000</c:v>
                </c:pt>
                <c:pt idx="456">
                  <c:v>500000</c:v>
                </c:pt>
                <c:pt idx="457">
                  <c:v>305000</c:v>
                </c:pt>
                <c:pt idx="458">
                  <c:v>413373</c:v>
                </c:pt>
                <c:pt idx="459">
                  <c:v>465000</c:v>
                </c:pt>
                <c:pt idx="460">
                  <c:v>232206</c:v>
                </c:pt>
                <c:pt idx="461">
                  <c:v>900000</c:v>
                </c:pt>
                <c:pt idx="462">
                  <c:v>410000</c:v>
                </c:pt>
                <c:pt idx="463">
                  <c:v>607700</c:v>
                </c:pt>
                <c:pt idx="464">
                  <c:v>1200000</c:v>
                </c:pt>
                <c:pt idx="465">
                  <c:v>955000</c:v>
                </c:pt>
                <c:pt idx="466">
                  <c:v>330000</c:v>
                </c:pt>
                <c:pt idx="467">
                  <c:v>685000</c:v>
                </c:pt>
                <c:pt idx="468">
                  <c:v>650000</c:v>
                </c:pt>
                <c:pt idx="469">
                  <c:v>1175000</c:v>
                </c:pt>
                <c:pt idx="470">
                  <c:v>495593</c:v>
                </c:pt>
                <c:pt idx="471">
                  <c:v>439000</c:v>
                </c:pt>
                <c:pt idx="472">
                  <c:v>550000</c:v>
                </c:pt>
                <c:pt idx="473">
                  <c:v>125000</c:v>
                </c:pt>
                <c:pt idx="474">
                  <c:v>410000</c:v>
                </c:pt>
                <c:pt idx="475">
                  <c:v>602000</c:v>
                </c:pt>
                <c:pt idx="476">
                  <c:v>1450000</c:v>
                </c:pt>
                <c:pt idx="477">
                  <c:v>1320000</c:v>
                </c:pt>
                <c:pt idx="478">
                  <c:v>419000</c:v>
                </c:pt>
                <c:pt idx="479">
                  <c:v>247000</c:v>
                </c:pt>
                <c:pt idx="480">
                  <c:v>620000</c:v>
                </c:pt>
                <c:pt idx="481">
                  <c:v>6520000</c:v>
                </c:pt>
                <c:pt idx="482">
                  <c:v>196000</c:v>
                </c:pt>
                <c:pt idx="483">
                  <c:v>1280000</c:v>
                </c:pt>
                <c:pt idx="484">
                  <c:v>485000</c:v>
                </c:pt>
                <c:pt idx="485">
                  <c:v>425000</c:v>
                </c:pt>
                <c:pt idx="486">
                  <c:v>900000</c:v>
                </c:pt>
                <c:pt idx="487">
                  <c:v>360000</c:v>
                </c:pt>
                <c:pt idx="488">
                  <c:v>990000</c:v>
                </c:pt>
                <c:pt idx="489">
                  <c:v>520000</c:v>
                </c:pt>
                <c:pt idx="490">
                  <c:v>510000</c:v>
                </c:pt>
                <c:pt idx="491">
                  <c:v>2289000</c:v>
                </c:pt>
                <c:pt idx="492">
                  <c:v>200000</c:v>
                </c:pt>
                <c:pt idx="493">
                  <c:v>380000</c:v>
                </c:pt>
                <c:pt idx="494">
                  <c:v>485000</c:v>
                </c:pt>
                <c:pt idx="495">
                  <c:v>939000</c:v>
                </c:pt>
                <c:pt idx="496">
                  <c:v>645000</c:v>
                </c:pt>
                <c:pt idx="497">
                  <c:v>500000</c:v>
                </c:pt>
                <c:pt idx="498">
                  <c:v>410000</c:v>
                </c:pt>
                <c:pt idx="499">
                  <c:v>509000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08-41ED-8022-9D38033B2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Gross Sq Ft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 Price (USD)</a:t>
                </a:r>
              </a:p>
            </c:rich>
          </c:tx>
          <c:overlay val="0"/>
        </c:title>
        <c:numFmt formatCode="\$#,##0" sourceLinked="0"/>
        <c:majorTickMark val="out"/>
        <c:minorTickMark val="none"/>
        <c:tickLblPos val="nextTo"/>
        <c:crossAx val="50050001"/>
        <c:crosses val="autoZero"/>
        <c:crossBetween val="midCat"/>
      </c:valAx>
    </c:plotArea>
    <c:plotVisOnly val="1"/>
    <c:dispBlanksAs val="gap"/>
    <c:showDLblsOverMax val="0"/>
  </c:chart>
  <c:spPr>
    <a:solidFill>
      <a:srgbClr val="F6FFF0"/>
    </a:solidFill>
    <a:ln>
      <a:solidFill>
        <a:srgbClr val="A9D18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8</xdr:row>
      <xdr:rowOff>38100</xdr:rowOff>
    </xdr:from>
    <xdr:to>
      <xdr:col>6</xdr:col>
      <xdr:colOff>504825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</xdr:colOff>
      <xdr:row>8</xdr:row>
      <xdr:rowOff>38100</xdr:rowOff>
    </xdr:from>
    <xdr:to>
      <xdr:col>17</xdr:col>
      <xdr:colOff>704850</xdr:colOff>
      <xdr:row>23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32</xdr:row>
      <xdr:rowOff>38100</xdr:rowOff>
    </xdr:from>
    <xdr:to>
      <xdr:col>6</xdr:col>
      <xdr:colOff>504825</xdr:colOff>
      <xdr:row>47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38100</xdr:colOff>
      <xdr:row>32</xdr:row>
      <xdr:rowOff>38100</xdr:rowOff>
    </xdr:from>
    <xdr:to>
      <xdr:col>17</xdr:col>
      <xdr:colOff>704850</xdr:colOff>
      <xdr:row>47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38100</xdr:colOff>
      <xdr:row>60</xdr:row>
      <xdr:rowOff>38100</xdr:rowOff>
    </xdr:from>
    <xdr:to>
      <xdr:col>7</xdr:col>
      <xdr:colOff>676275</xdr:colOff>
      <xdr:row>76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opLeftCell="A10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>
        <v>860000</v>
      </c>
      <c r="C2">
        <v>694446</v>
      </c>
      <c r="D2">
        <v>1230000</v>
      </c>
      <c r="E2">
        <v>6725000</v>
      </c>
      <c r="F2">
        <v>4250000</v>
      </c>
      <c r="G2">
        <v>2200000</v>
      </c>
      <c r="H2">
        <v>4000000</v>
      </c>
    </row>
    <row r="3" spans="1:8" x14ac:dyDescent="0.25">
      <c r="A3" t="s">
        <v>9</v>
      </c>
      <c r="B3">
        <v>400000</v>
      </c>
      <c r="C3">
        <v>180000</v>
      </c>
      <c r="D3">
        <v>135000</v>
      </c>
      <c r="E3">
        <v>475000</v>
      </c>
      <c r="F3">
        <v>350000</v>
      </c>
      <c r="G3">
        <v>405000</v>
      </c>
      <c r="H3">
        <v>560000</v>
      </c>
    </row>
    <row r="4" spans="1:8" x14ac:dyDescent="0.25">
      <c r="A4" t="s">
        <v>10</v>
      </c>
      <c r="B4">
        <v>600000</v>
      </c>
      <c r="C4">
        <v>279000</v>
      </c>
      <c r="D4">
        <v>700000</v>
      </c>
      <c r="E4">
        <v>725000</v>
      </c>
      <c r="F4">
        <v>445000</v>
      </c>
      <c r="G4">
        <v>500000</v>
      </c>
      <c r="H4">
        <v>885000</v>
      </c>
    </row>
    <row r="5" spans="1:8" x14ac:dyDescent="0.25">
      <c r="A5" t="s">
        <v>11</v>
      </c>
      <c r="B5">
        <v>455800</v>
      </c>
      <c r="C5">
        <v>220000</v>
      </c>
      <c r="D5">
        <v>509839.5</v>
      </c>
      <c r="E5">
        <v>635000</v>
      </c>
      <c r="F5">
        <v>421532</v>
      </c>
      <c r="G5">
        <v>507000</v>
      </c>
      <c r="H5">
        <v>747500</v>
      </c>
    </row>
    <row r="6" spans="1:8" x14ac:dyDescent="0.25">
      <c r="A6" t="s">
        <v>12</v>
      </c>
      <c r="B6">
        <v>440000</v>
      </c>
      <c r="C6">
        <v>172500</v>
      </c>
      <c r="D6">
        <v>250000</v>
      </c>
      <c r="E6">
        <v>520000</v>
      </c>
      <c r="F6">
        <v>370000</v>
      </c>
      <c r="G6">
        <v>459500</v>
      </c>
      <c r="H6">
        <v>660000</v>
      </c>
    </row>
    <row r="9" spans="1:8" x14ac:dyDescent="0.25">
      <c r="A9" s="1" t="s">
        <v>0</v>
      </c>
      <c r="B9" s="2" t="s">
        <v>1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</row>
    <row r="10" spans="1:8" x14ac:dyDescent="0.25">
      <c r="A10" t="s">
        <v>13</v>
      </c>
      <c r="B10">
        <v>79588</v>
      </c>
      <c r="C10">
        <v>18159</v>
      </c>
      <c r="D10">
        <v>6892</v>
      </c>
      <c r="E10">
        <v>20337</v>
      </c>
      <c r="F10">
        <v>25558</v>
      </c>
      <c r="G10">
        <v>8642</v>
      </c>
    </row>
    <row r="11" spans="1:8" x14ac:dyDescent="0.25">
      <c r="A11" t="s">
        <v>14</v>
      </c>
      <c r="B11">
        <v>89442</v>
      </c>
      <c r="C11">
        <v>21245</v>
      </c>
      <c r="D11">
        <v>7836</v>
      </c>
      <c r="E11">
        <v>22790</v>
      </c>
      <c r="F11">
        <v>28736</v>
      </c>
      <c r="G11">
        <v>8835</v>
      </c>
    </row>
    <row r="12" spans="1:8" x14ac:dyDescent="0.25">
      <c r="A12" t="s">
        <v>15</v>
      </c>
      <c r="B12">
        <v>89029</v>
      </c>
      <c r="C12">
        <v>21307</v>
      </c>
      <c r="D12">
        <v>8059</v>
      </c>
      <c r="E12">
        <v>22876</v>
      </c>
      <c r="F12">
        <v>28901</v>
      </c>
      <c r="G12">
        <v>7886</v>
      </c>
    </row>
    <row r="13" spans="1:8" x14ac:dyDescent="0.25">
      <c r="A13" t="s">
        <v>16</v>
      </c>
      <c r="B13">
        <v>81833</v>
      </c>
      <c r="C13">
        <v>21767</v>
      </c>
      <c r="D13">
        <v>7507</v>
      </c>
      <c r="E13">
        <v>20255</v>
      </c>
      <c r="F13">
        <v>25788</v>
      </c>
      <c r="G13">
        <v>6516</v>
      </c>
    </row>
    <row r="14" spans="1:8" x14ac:dyDescent="0.25">
      <c r="A14" t="s">
        <v>17</v>
      </c>
      <c r="B14">
        <v>74560</v>
      </c>
      <c r="C14">
        <v>23012</v>
      </c>
      <c r="D14">
        <v>6169</v>
      </c>
      <c r="E14">
        <v>17935</v>
      </c>
      <c r="F14">
        <v>21887</v>
      </c>
      <c r="G14">
        <v>5557</v>
      </c>
    </row>
    <row r="15" spans="1:8" x14ac:dyDescent="0.25">
      <c r="A15" t="s">
        <v>18</v>
      </c>
      <c r="B15">
        <v>59592</v>
      </c>
      <c r="C15">
        <v>19440</v>
      </c>
      <c r="D15">
        <v>4291</v>
      </c>
      <c r="E15">
        <v>13989</v>
      </c>
      <c r="F15">
        <v>17647</v>
      </c>
      <c r="G15">
        <v>4225</v>
      </c>
    </row>
    <row r="16" spans="1:8" x14ac:dyDescent="0.25">
      <c r="A16" t="s">
        <v>19</v>
      </c>
      <c r="B16">
        <v>46861</v>
      </c>
      <c r="C16">
        <v>13477</v>
      </c>
      <c r="D16">
        <v>3201</v>
      </c>
      <c r="E16">
        <v>10739</v>
      </c>
      <c r="F16">
        <v>15441</v>
      </c>
      <c r="G16">
        <v>4003</v>
      </c>
    </row>
    <row r="17" spans="1:7" x14ac:dyDescent="0.25">
      <c r="A17" t="s">
        <v>20</v>
      </c>
      <c r="B17">
        <v>43535</v>
      </c>
      <c r="C17">
        <v>12332</v>
      </c>
      <c r="D17">
        <v>2832</v>
      </c>
      <c r="E17">
        <v>11426</v>
      </c>
      <c r="F17">
        <v>13207</v>
      </c>
      <c r="G17">
        <v>3738</v>
      </c>
    </row>
    <row r="18" spans="1:7" x14ac:dyDescent="0.25">
      <c r="A18" t="s">
        <v>21</v>
      </c>
      <c r="B18">
        <v>47258</v>
      </c>
      <c r="C18">
        <v>14883</v>
      </c>
      <c r="D18">
        <v>2999</v>
      </c>
      <c r="E18">
        <v>12873</v>
      </c>
      <c r="F18">
        <v>13806</v>
      </c>
      <c r="G18">
        <v>2697</v>
      </c>
    </row>
    <row r="19" spans="1:7" x14ac:dyDescent="0.25">
      <c r="A19" t="s">
        <v>22</v>
      </c>
      <c r="B19">
        <v>51606</v>
      </c>
      <c r="C19">
        <v>17222</v>
      </c>
      <c r="D19">
        <v>3264</v>
      </c>
      <c r="E19">
        <v>13516</v>
      </c>
      <c r="F19">
        <v>14184</v>
      </c>
      <c r="G19">
        <v>3420</v>
      </c>
    </row>
    <row r="20" spans="1:7" x14ac:dyDescent="0.25">
      <c r="A20" t="s">
        <v>23</v>
      </c>
      <c r="B20">
        <v>59146</v>
      </c>
      <c r="C20">
        <v>18523</v>
      </c>
      <c r="D20">
        <v>3795</v>
      </c>
      <c r="E20">
        <v>15426</v>
      </c>
      <c r="F20">
        <v>17032</v>
      </c>
      <c r="G20">
        <v>4370</v>
      </c>
    </row>
    <row r="21" spans="1:7" x14ac:dyDescent="0.25">
      <c r="A21" t="s">
        <v>24</v>
      </c>
      <c r="B21">
        <v>59016</v>
      </c>
      <c r="C21">
        <v>17232</v>
      </c>
      <c r="D21">
        <v>4151</v>
      </c>
      <c r="E21">
        <v>15571</v>
      </c>
      <c r="F21">
        <v>17325</v>
      </c>
      <c r="G21">
        <v>4737</v>
      </c>
    </row>
    <row r="22" spans="1:7" x14ac:dyDescent="0.25">
      <c r="A22" t="s">
        <v>25</v>
      </c>
      <c r="B22">
        <v>62063</v>
      </c>
      <c r="C22">
        <v>18464</v>
      </c>
      <c r="D22">
        <v>4677</v>
      </c>
      <c r="E22">
        <v>15637</v>
      </c>
      <c r="F22">
        <v>17886</v>
      </c>
      <c r="G22">
        <v>5399</v>
      </c>
    </row>
    <row r="23" spans="1:7" x14ac:dyDescent="0.25">
      <c r="A23" t="s">
        <v>26</v>
      </c>
      <c r="B23">
        <v>60292</v>
      </c>
      <c r="C23">
        <v>16119</v>
      </c>
      <c r="D23">
        <v>5083</v>
      </c>
      <c r="E23">
        <v>15153</v>
      </c>
      <c r="F23">
        <v>17947</v>
      </c>
      <c r="G23">
        <v>5990</v>
      </c>
    </row>
    <row r="24" spans="1:7" x14ac:dyDescent="0.25">
      <c r="A24" t="s">
        <v>27</v>
      </c>
      <c r="B24">
        <v>60739</v>
      </c>
      <c r="C24">
        <v>14535</v>
      </c>
      <c r="D24">
        <v>5416</v>
      </c>
      <c r="E24">
        <v>15577</v>
      </c>
      <c r="F24">
        <v>18811</v>
      </c>
      <c r="G24">
        <v>6400</v>
      </c>
    </row>
    <row r="25" spans="1:7" x14ac:dyDescent="0.25">
      <c r="A25" t="s">
        <v>28</v>
      </c>
      <c r="B25">
        <v>56711</v>
      </c>
      <c r="C25">
        <v>12857</v>
      </c>
      <c r="D25">
        <v>5564</v>
      </c>
      <c r="E25">
        <v>14354</v>
      </c>
      <c r="F25">
        <v>17797</v>
      </c>
      <c r="G25">
        <v>6139</v>
      </c>
    </row>
    <row r="26" spans="1:7" x14ac:dyDescent="0.25">
      <c r="A26" t="s">
        <v>29</v>
      </c>
      <c r="B26">
        <v>55961</v>
      </c>
      <c r="C26">
        <v>13608</v>
      </c>
      <c r="D26">
        <v>5248</v>
      </c>
      <c r="E26">
        <v>14525</v>
      </c>
      <c r="F26">
        <v>17116</v>
      </c>
      <c r="G26">
        <v>5464</v>
      </c>
    </row>
    <row r="27" spans="1:7" x14ac:dyDescent="0.25">
      <c r="A27" t="s">
        <v>30</v>
      </c>
      <c r="B27">
        <v>43788</v>
      </c>
      <c r="C27">
        <v>9491</v>
      </c>
      <c r="D27">
        <v>4293</v>
      </c>
      <c r="E27">
        <v>11579</v>
      </c>
      <c r="F27">
        <v>13354</v>
      </c>
      <c r="G27">
        <v>5071</v>
      </c>
    </row>
    <row r="28" spans="1:7" x14ac:dyDescent="0.25">
      <c r="A28" t="s">
        <v>31</v>
      </c>
      <c r="B28">
        <v>70829</v>
      </c>
      <c r="C28">
        <v>19242</v>
      </c>
      <c r="D28">
        <v>5216</v>
      </c>
      <c r="E28">
        <v>19398</v>
      </c>
      <c r="F28">
        <v>19842</v>
      </c>
      <c r="G28">
        <v>7131</v>
      </c>
    </row>
    <row r="29" spans="1:7" x14ac:dyDescent="0.25">
      <c r="A29" t="s">
        <v>32</v>
      </c>
      <c r="B29">
        <v>87492</v>
      </c>
      <c r="C29">
        <v>25875</v>
      </c>
      <c r="D29">
        <v>7405</v>
      </c>
      <c r="E29">
        <v>21090</v>
      </c>
      <c r="F29">
        <v>24204</v>
      </c>
      <c r="G29">
        <v>8918</v>
      </c>
    </row>
    <row r="30" spans="1:7" x14ac:dyDescent="0.25">
      <c r="A30" t="s">
        <v>33</v>
      </c>
      <c r="B30">
        <v>102464</v>
      </c>
      <c r="C30">
        <v>31974</v>
      </c>
      <c r="D30">
        <v>8219</v>
      </c>
      <c r="E30">
        <v>23141</v>
      </c>
      <c r="F30">
        <v>29652</v>
      </c>
      <c r="G30">
        <v>9478</v>
      </c>
    </row>
    <row r="32" spans="1:7" x14ac:dyDescent="0.25">
      <c r="A32" s="1" t="s">
        <v>0</v>
      </c>
      <c r="B32" s="2" t="s">
        <v>1</v>
      </c>
      <c r="C32" s="2" t="s">
        <v>8</v>
      </c>
      <c r="D32" s="2" t="s">
        <v>9</v>
      </c>
      <c r="E32" s="2" t="s">
        <v>10</v>
      </c>
      <c r="F32" s="2" t="s">
        <v>11</v>
      </c>
      <c r="G32" s="2" t="s">
        <v>12</v>
      </c>
    </row>
    <row r="33" spans="1:8" x14ac:dyDescent="0.25">
      <c r="A33" t="s">
        <v>2</v>
      </c>
      <c r="B33">
        <v>385000</v>
      </c>
      <c r="C33">
        <v>694446</v>
      </c>
      <c r="D33">
        <v>180000</v>
      </c>
      <c r="E33">
        <v>279000</v>
      </c>
      <c r="F33">
        <v>220000</v>
      </c>
      <c r="G33">
        <v>172500</v>
      </c>
    </row>
    <row r="34" spans="1:8" x14ac:dyDescent="0.25">
      <c r="A34" t="s">
        <v>3</v>
      </c>
      <c r="B34">
        <v>880000</v>
      </c>
      <c r="C34">
        <v>1230000</v>
      </c>
      <c r="D34">
        <v>135000</v>
      </c>
      <c r="E34">
        <v>700000</v>
      </c>
      <c r="F34">
        <v>509839.5</v>
      </c>
      <c r="G34">
        <v>250000</v>
      </c>
    </row>
    <row r="35" spans="1:8" x14ac:dyDescent="0.25">
      <c r="A35" t="s">
        <v>4</v>
      </c>
      <c r="B35">
        <v>590000</v>
      </c>
      <c r="C35">
        <v>6725000</v>
      </c>
      <c r="D35">
        <v>475000</v>
      </c>
      <c r="E35">
        <v>725000</v>
      </c>
      <c r="F35">
        <v>635000</v>
      </c>
      <c r="G35">
        <v>520000</v>
      </c>
    </row>
    <row r="36" spans="1:8" x14ac:dyDescent="0.25">
      <c r="A36" t="s">
        <v>5</v>
      </c>
      <c r="B36">
        <v>402000</v>
      </c>
      <c r="C36">
        <v>4250000</v>
      </c>
      <c r="D36">
        <v>350000</v>
      </c>
      <c r="E36">
        <v>445000</v>
      </c>
      <c r="F36">
        <v>421532</v>
      </c>
      <c r="G36">
        <v>370000</v>
      </c>
    </row>
    <row r="37" spans="1:8" x14ac:dyDescent="0.25">
      <c r="A37" t="s">
        <v>6</v>
      </c>
      <c r="B37">
        <v>486000</v>
      </c>
      <c r="C37">
        <v>2200000</v>
      </c>
      <c r="D37">
        <v>405000</v>
      </c>
      <c r="E37">
        <v>500000</v>
      </c>
      <c r="F37">
        <v>507000</v>
      </c>
      <c r="G37">
        <v>459500</v>
      </c>
    </row>
    <row r="38" spans="1:8" x14ac:dyDescent="0.25">
      <c r="A38" t="s">
        <v>7</v>
      </c>
      <c r="B38">
        <v>740000</v>
      </c>
      <c r="C38">
        <v>4000000</v>
      </c>
      <c r="D38">
        <v>560000</v>
      </c>
      <c r="E38">
        <v>885000</v>
      </c>
      <c r="F38">
        <v>747500</v>
      </c>
      <c r="G38">
        <v>660000</v>
      </c>
    </row>
    <row r="40" spans="1:8" x14ac:dyDescent="0.25">
      <c r="A40" s="1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</row>
    <row r="41" spans="1:8" x14ac:dyDescent="0.25">
      <c r="A41" t="s">
        <v>8</v>
      </c>
      <c r="B41">
        <v>1140457689496</v>
      </c>
      <c r="C41">
        <v>165221922527</v>
      </c>
      <c r="D41">
        <v>316265241262</v>
      </c>
      <c r="E41">
        <v>11844037891</v>
      </c>
      <c r="F41">
        <v>5565546598</v>
      </c>
      <c r="G41">
        <v>2954604928</v>
      </c>
      <c r="H41">
        <v>5598098886</v>
      </c>
    </row>
    <row r="42" spans="1:8" x14ac:dyDescent="0.25">
      <c r="A42" t="s">
        <v>9</v>
      </c>
      <c r="B42">
        <v>98338483764</v>
      </c>
      <c r="C42">
        <v>11612682629</v>
      </c>
      <c r="D42">
        <v>1560277578</v>
      </c>
      <c r="E42">
        <v>6394554862</v>
      </c>
      <c r="F42">
        <v>3666598389</v>
      </c>
      <c r="G42">
        <v>5754110788</v>
      </c>
      <c r="H42">
        <v>8883524357</v>
      </c>
    </row>
    <row r="43" spans="1:8" x14ac:dyDescent="0.25">
      <c r="A43" t="s">
        <v>10</v>
      </c>
      <c r="B43">
        <v>378370296962</v>
      </c>
      <c r="C43">
        <v>20985447546</v>
      </c>
      <c r="D43">
        <v>47024248452</v>
      </c>
      <c r="E43">
        <v>24856683316</v>
      </c>
      <c r="F43">
        <v>12438402604</v>
      </c>
      <c r="G43">
        <v>24168514459</v>
      </c>
      <c r="H43">
        <v>43601370643</v>
      </c>
    </row>
    <row r="44" spans="1:8" x14ac:dyDescent="0.25">
      <c r="A44" t="s">
        <v>11</v>
      </c>
      <c r="B44">
        <v>316330311011</v>
      </c>
      <c r="C44">
        <v>20396504563</v>
      </c>
      <c r="D44">
        <v>42503824052</v>
      </c>
      <c r="E44">
        <v>45775527719</v>
      </c>
      <c r="F44">
        <v>31571756199</v>
      </c>
      <c r="G44">
        <v>24067395384</v>
      </c>
      <c r="H44">
        <v>31720358966</v>
      </c>
    </row>
    <row r="45" spans="1:8" x14ac:dyDescent="0.25">
      <c r="A45" t="s">
        <v>12</v>
      </c>
      <c r="B45">
        <v>68318777602</v>
      </c>
      <c r="C45">
        <v>229225329</v>
      </c>
      <c r="D45">
        <v>768224331</v>
      </c>
      <c r="E45">
        <v>22670188088</v>
      </c>
      <c r="F45">
        <v>13137064177</v>
      </c>
      <c r="G45">
        <v>5829326867</v>
      </c>
      <c r="H45">
        <v>10202864905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1"/>
  <sheetViews>
    <sheetView workbookViewId="0"/>
  </sheetViews>
  <sheetFormatPr defaultRowHeight="15" x14ac:dyDescent="0.25"/>
  <sheetData>
    <row r="1" spans="1:14" x14ac:dyDescent="0.25">
      <c r="A1" s="2" t="s">
        <v>34</v>
      </c>
      <c r="B1" s="2" t="s">
        <v>35</v>
      </c>
      <c r="D1" s="2" t="s">
        <v>36</v>
      </c>
      <c r="E1" s="2" t="s">
        <v>37</v>
      </c>
      <c r="G1" s="2" t="s">
        <v>38</v>
      </c>
      <c r="H1" s="2" t="s">
        <v>39</v>
      </c>
      <c r="J1" s="2" t="s">
        <v>34</v>
      </c>
      <c r="K1" s="2" t="s">
        <v>40</v>
      </c>
      <c r="M1" s="2" t="s">
        <v>41</v>
      </c>
      <c r="N1" s="2" t="s">
        <v>42</v>
      </c>
    </row>
    <row r="2" spans="1:14" x14ac:dyDescent="0.25">
      <c r="A2" t="s">
        <v>8</v>
      </c>
      <c r="B2">
        <f>INDEX(LookupData!$B$2:$H$6,1,MATCH(Dashboard!$F$8,LookupData!$B$1:$H$1,0))</f>
        <v>860000</v>
      </c>
      <c r="D2" t="s">
        <v>13</v>
      </c>
      <c r="E2">
        <f>INDEX(LookupData!$B$10:$G$30,1,MATCH(Dashboard!$R$8,LookupData!$B$9:$G$9,0))</f>
        <v>79588</v>
      </c>
      <c r="G2" t="s">
        <v>2</v>
      </c>
      <c r="H2">
        <f>INDEX(LookupData!$B$33:$G$38,1,MATCH(Dashboard!$F$32,LookupData!$B$32:$G$32,0))</f>
        <v>385000</v>
      </c>
      <c r="J2" t="s">
        <v>8</v>
      </c>
      <c r="K2">
        <f>INDEX(LookupData!$B$41:$H$45,1,MATCH(Dashboard!$R$32,LookupData!$B$40:$H$40,0))</f>
        <v>1140457689496</v>
      </c>
      <c r="M2">
        <v>870</v>
      </c>
      <c r="N2">
        <v>350000</v>
      </c>
    </row>
    <row r="3" spans="1:14" x14ac:dyDescent="0.25">
      <c r="A3" t="s">
        <v>9</v>
      </c>
      <c r="B3">
        <f>INDEX(LookupData!$B$2:$H$6,2,MATCH(Dashboard!$F$8,LookupData!$B$1:$H$1,0))</f>
        <v>400000</v>
      </c>
      <c r="D3" t="s">
        <v>14</v>
      </c>
      <c r="E3">
        <f>INDEX(LookupData!$B$10:$G$30,2,MATCH(Dashboard!$R$8,LookupData!$B$9:$G$9,0))</f>
        <v>89442</v>
      </c>
      <c r="G3" t="s">
        <v>3</v>
      </c>
      <c r="H3">
        <f>INDEX(LookupData!$B$33:$G$38,2,MATCH(Dashboard!$F$32,LookupData!$B$32:$G$32,0))</f>
        <v>880000</v>
      </c>
      <c r="J3" t="s">
        <v>9</v>
      </c>
      <c r="K3">
        <f>INDEX(LookupData!$B$41:$H$45,2,MATCH(Dashboard!$R$32,LookupData!$B$40:$H$40,0))</f>
        <v>98338483764</v>
      </c>
      <c r="M3">
        <v>1274</v>
      </c>
      <c r="N3">
        <v>490000</v>
      </c>
    </row>
    <row r="4" spans="1:14" x14ac:dyDescent="0.25">
      <c r="A4" t="s">
        <v>10</v>
      </c>
      <c r="B4">
        <f>INDEX(LookupData!$B$2:$H$6,3,MATCH(Dashboard!$F$8,LookupData!$B$1:$H$1,0))</f>
        <v>600000</v>
      </c>
      <c r="D4" t="s">
        <v>15</v>
      </c>
      <c r="E4">
        <f>INDEX(LookupData!$B$10:$G$30,3,MATCH(Dashboard!$R$8,LookupData!$B$9:$G$9,0))</f>
        <v>89029</v>
      </c>
      <c r="G4" t="s">
        <v>4</v>
      </c>
      <c r="H4">
        <f>INDEX(LookupData!$B$33:$G$38,3,MATCH(Dashboard!$F$32,LookupData!$B$32:$G$32,0))</f>
        <v>590000</v>
      </c>
      <c r="J4" t="s">
        <v>10</v>
      </c>
      <c r="K4">
        <f>INDEX(LookupData!$B$41:$H$45,3,MATCH(Dashboard!$R$32,LookupData!$B$40:$H$40,0))</f>
        <v>378370296962</v>
      </c>
      <c r="M4">
        <v>1600</v>
      </c>
      <c r="N4">
        <v>425000</v>
      </c>
    </row>
    <row r="5" spans="1:14" x14ac:dyDescent="0.25">
      <c r="A5" t="s">
        <v>11</v>
      </c>
      <c r="B5">
        <f>INDEX(LookupData!$B$2:$H$6,4,MATCH(Dashboard!$F$8,LookupData!$B$1:$H$1,0))</f>
        <v>455800</v>
      </c>
      <c r="D5" t="s">
        <v>16</v>
      </c>
      <c r="E5">
        <f>INDEX(LookupData!$B$10:$G$30,4,MATCH(Dashboard!$R$8,LookupData!$B$9:$G$9,0))</f>
        <v>81833</v>
      </c>
      <c r="G5" t="s">
        <v>5</v>
      </c>
      <c r="H5">
        <f>INDEX(LookupData!$B$33:$G$38,4,MATCH(Dashboard!$F$32,LookupData!$B$32:$G$32,0))</f>
        <v>402000</v>
      </c>
      <c r="J5" t="s">
        <v>11</v>
      </c>
      <c r="K5">
        <f>INDEX(LookupData!$B$41:$H$45,4,MATCH(Dashboard!$R$32,LookupData!$B$40:$H$40,0))</f>
        <v>316330311011</v>
      </c>
      <c r="M5">
        <v>1790</v>
      </c>
      <c r="N5">
        <v>595000</v>
      </c>
    </row>
    <row r="6" spans="1:14" x14ac:dyDescent="0.25">
      <c r="A6" t="s">
        <v>12</v>
      </c>
      <c r="B6">
        <f>INDEX(LookupData!$B$2:$H$6,5,MATCH(Dashboard!$F$8,LookupData!$B$1:$H$1,0))</f>
        <v>440000</v>
      </c>
      <c r="D6" t="s">
        <v>17</v>
      </c>
      <c r="E6">
        <f>INDEX(LookupData!$B$10:$G$30,5,MATCH(Dashboard!$R$8,LookupData!$B$9:$G$9,0))</f>
        <v>74560</v>
      </c>
      <c r="G6" t="s">
        <v>6</v>
      </c>
      <c r="H6">
        <f>INDEX(LookupData!$B$33:$G$38,5,MATCH(Dashboard!$F$32,LookupData!$B$32:$G$32,0))</f>
        <v>486000</v>
      </c>
      <c r="J6" t="s">
        <v>12</v>
      </c>
      <c r="K6">
        <f>INDEX(LookupData!$B$41:$H$45,5,MATCH(Dashboard!$R$32,LookupData!$B$40:$H$40,0))</f>
        <v>68318777602</v>
      </c>
      <c r="M6">
        <v>1344</v>
      </c>
      <c r="N6">
        <v>435000</v>
      </c>
    </row>
    <row r="7" spans="1:14" x14ac:dyDescent="0.25">
      <c r="D7" t="s">
        <v>18</v>
      </c>
      <c r="E7">
        <f>INDEX(LookupData!$B$10:$G$30,6,MATCH(Dashboard!$R$8,LookupData!$B$9:$G$9,0))</f>
        <v>59592</v>
      </c>
      <c r="G7" t="s">
        <v>7</v>
      </c>
      <c r="H7">
        <f>INDEX(LookupData!$B$33:$G$38,6,MATCH(Dashboard!$F$32,LookupData!$B$32:$G$32,0))</f>
        <v>740000</v>
      </c>
      <c r="M7">
        <v>3850</v>
      </c>
      <c r="N7">
        <v>730000</v>
      </c>
    </row>
    <row r="8" spans="1:14" x14ac:dyDescent="0.25">
      <c r="D8" t="s">
        <v>19</v>
      </c>
      <c r="E8">
        <f>INDEX(LookupData!$B$10:$G$30,7,MATCH(Dashboard!$R$8,LookupData!$B$9:$G$9,0))</f>
        <v>46861</v>
      </c>
      <c r="M8">
        <v>1920</v>
      </c>
      <c r="N8">
        <v>450500</v>
      </c>
    </row>
    <row r="9" spans="1:14" x14ac:dyDescent="0.25">
      <c r="D9" t="s">
        <v>20</v>
      </c>
      <c r="E9">
        <f>INDEX(LookupData!$B$10:$G$30,8,MATCH(Dashboard!$R$8,LookupData!$B$9:$G$9,0))</f>
        <v>43535</v>
      </c>
      <c r="M9">
        <v>1874</v>
      </c>
      <c r="N9">
        <v>665000</v>
      </c>
    </row>
    <row r="10" spans="1:14" x14ac:dyDescent="0.25">
      <c r="D10" t="s">
        <v>21</v>
      </c>
      <c r="E10">
        <f>INDEX(LookupData!$B$10:$G$30,9,MATCH(Dashboard!$R$8,LookupData!$B$9:$G$9,0))</f>
        <v>47258</v>
      </c>
      <c r="M10">
        <v>1468</v>
      </c>
      <c r="N10">
        <v>376500</v>
      </c>
    </row>
    <row r="11" spans="1:14" x14ac:dyDescent="0.25">
      <c r="D11" t="s">
        <v>22</v>
      </c>
      <c r="E11">
        <f>INDEX(LookupData!$B$10:$G$30,10,MATCH(Dashboard!$R$8,LookupData!$B$9:$G$9,0))</f>
        <v>51606</v>
      </c>
      <c r="M11">
        <v>3069</v>
      </c>
      <c r="N11">
        <v>1400000</v>
      </c>
    </row>
    <row r="12" spans="1:14" x14ac:dyDescent="0.25">
      <c r="D12" t="s">
        <v>23</v>
      </c>
      <c r="E12">
        <f>INDEX(LookupData!$B$10:$G$30,11,MATCH(Dashboard!$R$8,LookupData!$B$9:$G$9,0))</f>
        <v>59146</v>
      </c>
      <c r="M12">
        <v>1284</v>
      </c>
      <c r="N12">
        <v>620000</v>
      </c>
    </row>
    <row r="13" spans="1:14" x14ac:dyDescent="0.25">
      <c r="D13" t="s">
        <v>24</v>
      </c>
      <c r="E13">
        <f>INDEX(LookupData!$B$10:$G$30,12,MATCH(Dashboard!$R$8,LookupData!$B$9:$G$9,0))</f>
        <v>59016</v>
      </c>
      <c r="M13">
        <v>1316</v>
      </c>
      <c r="N13">
        <v>525000</v>
      </c>
    </row>
    <row r="14" spans="1:14" x14ac:dyDescent="0.25">
      <c r="D14" t="s">
        <v>25</v>
      </c>
      <c r="E14">
        <f>INDEX(LookupData!$B$10:$G$30,13,MATCH(Dashboard!$R$8,LookupData!$B$9:$G$9,0))</f>
        <v>62063</v>
      </c>
      <c r="M14">
        <v>1833</v>
      </c>
      <c r="N14">
        <v>500000</v>
      </c>
    </row>
    <row r="15" spans="1:14" x14ac:dyDescent="0.25">
      <c r="D15" t="s">
        <v>26</v>
      </c>
      <c r="E15">
        <f>INDEX(LookupData!$B$10:$G$30,14,MATCH(Dashboard!$R$8,LookupData!$B$9:$G$9,0))</f>
        <v>60292</v>
      </c>
      <c r="M15">
        <v>2028</v>
      </c>
      <c r="N15">
        <v>480000</v>
      </c>
    </row>
    <row r="16" spans="1:14" x14ac:dyDescent="0.25">
      <c r="D16" t="s">
        <v>27</v>
      </c>
      <c r="E16">
        <f>INDEX(LookupData!$B$10:$G$30,15,MATCH(Dashboard!$R$8,LookupData!$B$9:$G$9,0))</f>
        <v>60739</v>
      </c>
      <c r="M16">
        <v>2240</v>
      </c>
      <c r="N16">
        <v>668500</v>
      </c>
    </row>
    <row r="17" spans="4:14" x14ac:dyDescent="0.25">
      <c r="D17" t="s">
        <v>28</v>
      </c>
      <c r="E17">
        <f>INDEX(LookupData!$B$10:$G$30,16,MATCH(Dashboard!$R$8,LookupData!$B$9:$G$9,0))</f>
        <v>56711</v>
      </c>
      <c r="M17">
        <v>1224</v>
      </c>
      <c r="N17">
        <v>725000</v>
      </c>
    </row>
    <row r="18" spans="4:14" x14ac:dyDescent="0.25">
      <c r="D18" t="s">
        <v>29</v>
      </c>
      <c r="E18">
        <f>INDEX(LookupData!$B$10:$G$30,17,MATCH(Dashboard!$R$8,LookupData!$B$9:$G$9,0))</f>
        <v>55961</v>
      </c>
      <c r="M18">
        <v>2480</v>
      </c>
      <c r="N18">
        <v>355000</v>
      </c>
    </row>
    <row r="19" spans="4:14" x14ac:dyDescent="0.25">
      <c r="D19" t="s">
        <v>30</v>
      </c>
      <c r="E19">
        <f>INDEX(LookupData!$B$10:$G$30,18,MATCH(Dashboard!$R$8,LookupData!$B$9:$G$9,0))</f>
        <v>43788</v>
      </c>
      <c r="M19">
        <v>1950</v>
      </c>
      <c r="N19">
        <v>1600000</v>
      </c>
    </row>
    <row r="20" spans="4:14" x14ac:dyDescent="0.25">
      <c r="D20" t="s">
        <v>31</v>
      </c>
      <c r="E20">
        <f>INDEX(LookupData!$B$10:$G$30,19,MATCH(Dashboard!$R$8,LookupData!$B$9:$G$9,0))</f>
        <v>70829</v>
      </c>
      <c r="M20">
        <v>3512</v>
      </c>
      <c r="N20">
        <v>662000</v>
      </c>
    </row>
    <row r="21" spans="4:14" x14ac:dyDescent="0.25">
      <c r="D21" t="s">
        <v>32</v>
      </c>
      <c r="E21">
        <f>INDEX(LookupData!$B$10:$G$30,20,MATCH(Dashboard!$R$8,LookupData!$B$9:$G$9,0))</f>
        <v>87492</v>
      </c>
      <c r="M21">
        <v>2320</v>
      </c>
      <c r="N21">
        <v>750000</v>
      </c>
    </row>
    <row r="22" spans="4:14" x14ac:dyDescent="0.25">
      <c r="D22" t="s">
        <v>33</v>
      </c>
      <c r="E22">
        <f>INDEX(LookupData!$B$10:$G$30,21,MATCH(Dashboard!$R$8,LookupData!$B$9:$G$9,0))</f>
        <v>102464</v>
      </c>
      <c r="M22">
        <v>1465</v>
      </c>
      <c r="N22">
        <v>715000</v>
      </c>
    </row>
    <row r="23" spans="4:14" x14ac:dyDescent="0.25">
      <c r="M23">
        <v>1350</v>
      </c>
      <c r="N23">
        <v>340000</v>
      </c>
    </row>
    <row r="24" spans="4:14" x14ac:dyDescent="0.25">
      <c r="M24">
        <v>2733</v>
      </c>
      <c r="N24">
        <v>763687</v>
      </c>
    </row>
    <row r="25" spans="4:14" x14ac:dyDescent="0.25">
      <c r="M25">
        <v>1673</v>
      </c>
      <c r="N25">
        <v>300500</v>
      </c>
    </row>
    <row r="26" spans="4:14" x14ac:dyDescent="0.25">
      <c r="M26">
        <v>3035</v>
      </c>
      <c r="N26">
        <v>395000</v>
      </c>
    </row>
    <row r="27" spans="4:14" x14ac:dyDescent="0.25">
      <c r="M27">
        <v>2376</v>
      </c>
      <c r="N27">
        <v>380000</v>
      </c>
    </row>
    <row r="28" spans="4:14" x14ac:dyDescent="0.25">
      <c r="M28">
        <v>1486</v>
      </c>
      <c r="N28">
        <v>624500</v>
      </c>
    </row>
    <row r="29" spans="4:14" x14ac:dyDescent="0.25">
      <c r="M29">
        <v>4600</v>
      </c>
      <c r="N29">
        <v>477000</v>
      </c>
    </row>
    <row r="30" spans="4:14" x14ac:dyDescent="0.25">
      <c r="M30">
        <v>2100</v>
      </c>
      <c r="N30">
        <v>520000</v>
      </c>
    </row>
    <row r="31" spans="4:14" x14ac:dyDescent="0.25">
      <c r="M31">
        <v>2166</v>
      </c>
      <c r="N31">
        <v>1350000</v>
      </c>
    </row>
    <row r="32" spans="4:14" x14ac:dyDescent="0.25">
      <c r="M32">
        <v>2800</v>
      </c>
      <c r="N32">
        <v>171616</v>
      </c>
    </row>
    <row r="33" spans="13:14" x14ac:dyDescent="0.25">
      <c r="M33">
        <v>1880</v>
      </c>
      <c r="N33">
        <v>460000</v>
      </c>
    </row>
    <row r="34" spans="13:14" x14ac:dyDescent="0.25">
      <c r="M34">
        <v>2140</v>
      </c>
      <c r="N34">
        <v>223000</v>
      </c>
    </row>
    <row r="35" spans="13:14" x14ac:dyDescent="0.25">
      <c r="M35">
        <v>2552</v>
      </c>
      <c r="N35">
        <v>800000</v>
      </c>
    </row>
    <row r="36" spans="13:14" x14ac:dyDescent="0.25">
      <c r="M36">
        <v>2838</v>
      </c>
      <c r="N36">
        <v>222180</v>
      </c>
    </row>
    <row r="37" spans="13:14" x14ac:dyDescent="0.25">
      <c r="M37">
        <v>1056</v>
      </c>
      <c r="N37">
        <v>375000</v>
      </c>
    </row>
    <row r="38" spans="13:14" x14ac:dyDescent="0.25">
      <c r="M38">
        <v>4360</v>
      </c>
      <c r="N38">
        <v>940000</v>
      </c>
    </row>
    <row r="39" spans="13:14" x14ac:dyDescent="0.25">
      <c r="M39">
        <v>5000</v>
      </c>
      <c r="N39">
        <v>1800000</v>
      </c>
    </row>
    <row r="40" spans="13:14" x14ac:dyDescent="0.25">
      <c r="M40">
        <v>1560</v>
      </c>
      <c r="N40">
        <v>220000</v>
      </c>
    </row>
    <row r="41" spans="13:14" x14ac:dyDescent="0.25">
      <c r="M41">
        <v>1352</v>
      </c>
      <c r="N41">
        <v>365040</v>
      </c>
    </row>
    <row r="42" spans="13:14" x14ac:dyDescent="0.25">
      <c r="M42">
        <v>1338</v>
      </c>
      <c r="N42">
        <v>60000</v>
      </c>
    </row>
    <row r="43" spans="13:14" x14ac:dyDescent="0.25">
      <c r="M43">
        <v>1364</v>
      </c>
      <c r="N43">
        <v>272250</v>
      </c>
    </row>
    <row r="44" spans="13:14" x14ac:dyDescent="0.25">
      <c r="M44">
        <v>1120</v>
      </c>
      <c r="N44">
        <v>460000</v>
      </c>
    </row>
    <row r="45" spans="13:14" x14ac:dyDescent="0.25">
      <c r="M45">
        <v>1944</v>
      </c>
      <c r="N45">
        <v>395460</v>
      </c>
    </row>
    <row r="46" spans="13:14" x14ac:dyDescent="0.25">
      <c r="M46">
        <v>2297</v>
      </c>
      <c r="N46">
        <v>890000</v>
      </c>
    </row>
    <row r="47" spans="13:14" x14ac:dyDescent="0.25">
      <c r="M47">
        <v>1792</v>
      </c>
      <c r="N47">
        <v>500000</v>
      </c>
    </row>
    <row r="48" spans="13:14" x14ac:dyDescent="0.25">
      <c r="M48">
        <v>1232</v>
      </c>
      <c r="N48">
        <v>970000</v>
      </c>
    </row>
    <row r="49" spans="13:14" x14ac:dyDescent="0.25">
      <c r="M49">
        <v>2400</v>
      </c>
      <c r="N49">
        <v>600000</v>
      </c>
    </row>
    <row r="50" spans="13:14" x14ac:dyDescent="0.25">
      <c r="M50">
        <v>1700</v>
      </c>
      <c r="N50">
        <v>200000</v>
      </c>
    </row>
    <row r="51" spans="13:14" x14ac:dyDescent="0.25">
      <c r="M51">
        <v>1800</v>
      </c>
      <c r="N51">
        <v>520000</v>
      </c>
    </row>
    <row r="52" spans="13:14" x14ac:dyDescent="0.25">
      <c r="M52">
        <v>2292</v>
      </c>
      <c r="N52">
        <v>530000</v>
      </c>
    </row>
    <row r="53" spans="13:14" x14ac:dyDescent="0.25">
      <c r="M53">
        <v>1010</v>
      </c>
      <c r="N53">
        <v>330000</v>
      </c>
    </row>
    <row r="54" spans="13:14" x14ac:dyDescent="0.25">
      <c r="M54">
        <v>3420</v>
      </c>
      <c r="N54">
        <v>520000</v>
      </c>
    </row>
    <row r="55" spans="13:14" x14ac:dyDescent="0.25">
      <c r="M55">
        <v>8242</v>
      </c>
      <c r="N55">
        <v>388000</v>
      </c>
    </row>
    <row r="56" spans="13:14" x14ac:dyDescent="0.25">
      <c r="M56">
        <v>1440</v>
      </c>
      <c r="N56">
        <v>152500</v>
      </c>
    </row>
    <row r="57" spans="13:14" x14ac:dyDescent="0.25">
      <c r="M57">
        <v>2464</v>
      </c>
      <c r="N57">
        <v>600000</v>
      </c>
    </row>
    <row r="58" spans="13:14" x14ac:dyDescent="0.25">
      <c r="M58">
        <v>1530</v>
      </c>
      <c r="N58">
        <v>500000</v>
      </c>
    </row>
    <row r="59" spans="13:14" x14ac:dyDescent="0.25">
      <c r="M59">
        <v>1200</v>
      </c>
      <c r="N59">
        <v>610790</v>
      </c>
    </row>
    <row r="60" spans="13:14" x14ac:dyDescent="0.25">
      <c r="M60">
        <v>2960</v>
      </c>
      <c r="N60">
        <v>1700000</v>
      </c>
    </row>
    <row r="61" spans="13:14" x14ac:dyDescent="0.25">
      <c r="M61">
        <v>1900</v>
      </c>
      <c r="N61">
        <v>700000</v>
      </c>
    </row>
    <row r="62" spans="13:14" x14ac:dyDescent="0.25">
      <c r="M62">
        <v>1110</v>
      </c>
      <c r="N62">
        <v>297000</v>
      </c>
    </row>
    <row r="63" spans="13:14" x14ac:dyDescent="0.25">
      <c r="M63">
        <v>1752</v>
      </c>
      <c r="N63">
        <v>619000</v>
      </c>
    </row>
    <row r="64" spans="13:14" x14ac:dyDescent="0.25">
      <c r="M64">
        <v>1224</v>
      </c>
      <c r="N64">
        <v>555000</v>
      </c>
    </row>
    <row r="65" spans="13:14" x14ac:dyDescent="0.25">
      <c r="M65">
        <v>4187</v>
      </c>
      <c r="N65">
        <v>789144</v>
      </c>
    </row>
    <row r="66" spans="13:14" x14ac:dyDescent="0.25">
      <c r="M66">
        <v>3720</v>
      </c>
      <c r="N66">
        <v>562000</v>
      </c>
    </row>
    <row r="67" spans="13:14" x14ac:dyDescent="0.25">
      <c r="M67">
        <v>1620</v>
      </c>
      <c r="N67">
        <v>1375000</v>
      </c>
    </row>
    <row r="68" spans="13:14" x14ac:dyDescent="0.25">
      <c r="M68">
        <v>1538</v>
      </c>
      <c r="N68">
        <v>415000</v>
      </c>
    </row>
    <row r="69" spans="13:14" x14ac:dyDescent="0.25">
      <c r="M69">
        <v>2129</v>
      </c>
      <c r="N69">
        <v>1150000</v>
      </c>
    </row>
    <row r="70" spans="13:14" x14ac:dyDescent="0.25">
      <c r="M70">
        <v>4037</v>
      </c>
      <c r="N70">
        <v>799326</v>
      </c>
    </row>
    <row r="71" spans="13:14" x14ac:dyDescent="0.25">
      <c r="M71">
        <v>1152</v>
      </c>
      <c r="N71">
        <v>87500</v>
      </c>
    </row>
    <row r="72" spans="13:14" x14ac:dyDescent="0.25">
      <c r="M72">
        <v>4426</v>
      </c>
      <c r="N72">
        <v>225000</v>
      </c>
    </row>
    <row r="73" spans="13:14" x14ac:dyDescent="0.25">
      <c r="M73">
        <v>1833</v>
      </c>
      <c r="N73">
        <v>439062</v>
      </c>
    </row>
    <row r="74" spans="13:14" x14ac:dyDescent="0.25">
      <c r="M74">
        <v>2400</v>
      </c>
      <c r="N74">
        <v>387000</v>
      </c>
    </row>
    <row r="75" spans="13:14" x14ac:dyDescent="0.25">
      <c r="M75">
        <v>1080</v>
      </c>
      <c r="N75">
        <v>360400</v>
      </c>
    </row>
    <row r="76" spans="13:14" x14ac:dyDescent="0.25">
      <c r="M76">
        <v>2000</v>
      </c>
      <c r="N76">
        <v>470000</v>
      </c>
    </row>
    <row r="77" spans="13:14" x14ac:dyDescent="0.25">
      <c r="M77">
        <v>1848</v>
      </c>
      <c r="N77">
        <v>489900</v>
      </c>
    </row>
    <row r="78" spans="13:14" x14ac:dyDescent="0.25">
      <c r="M78">
        <v>1358</v>
      </c>
      <c r="N78">
        <v>755500</v>
      </c>
    </row>
    <row r="79" spans="13:14" x14ac:dyDescent="0.25">
      <c r="M79">
        <v>2365</v>
      </c>
      <c r="N79">
        <v>485706</v>
      </c>
    </row>
    <row r="80" spans="13:14" x14ac:dyDescent="0.25">
      <c r="M80">
        <v>2820</v>
      </c>
      <c r="N80">
        <v>1050000</v>
      </c>
    </row>
    <row r="81" spans="13:14" x14ac:dyDescent="0.25">
      <c r="M81">
        <v>2420</v>
      </c>
      <c r="N81">
        <v>350000</v>
      </c>
    </row>
    <row r="82" spans="13:14" x14ac:dyDescent="0.25">
      <c r="M82">
        <v>2092</v>
      </c>
      <c r="N82">
        <v>488577</v>
      </c>
    </row>
    <row r="83" spans="13:14" x14ac:dyDescent="0.25">
      <c r="M83">
        <v>2400</v>
      </c>
      <c r="N83">
        <v>2700000</v>
      </c>
    </row>
    <row r="84" spans="13:14" x14ac:dyDescent="0.25">
      <c r="M84">
        <v>2128</v>
      </c>
      <c r="N84">
        <v>510000</v>
      </c>
    </row>
    <row r="85" spans="13:14" x14ac:dyDescent="0.25">
      <c r="M85">
        <v>3640</v>
      </c>
      <c r="N85">
        <v>870000</v>
      </c>
    </row>
    <row r="86" spans="13:14" x14ac:dyDescent="0.25">
      <c r="M86">
        <v>2971</v>
      </c>
      <c r="N86">
        <v>250000</v>
      </c>
    </row>
    <row r="87" spans="13:14" x14ac:dyDescent="0.25">
      <c r="M87">
        <v>1920</v>
      </c>
      <c r="N87">
        <v>380000</v>
      </c>
    </row>
    <row r="88" spans="13:14" x14ac:dyDescent="0.25">
      <c r="M88">
        <v>1836</v>
      </c>
      <c r="N88">
        <v>890000</v>
      </c>
    </row>
    <row r="89" spans="13:14" x14ac:dyDescent="0.25">
      <c r="M89">
        <v>3045</v>
      </c>
      <c r="N89">
        <v>371000</v>
      </c>
    </row>
    <row r="90" spans="13:14" x14ac:dyDescent="0.25">
      <c r="M90">
        <v>5400</v>
      </c>
      <c r="N90">
        <v>600000</v>
      </c>
    </row>
    <row r="91" spans="13:14" x14ac:dyDescent="0.25">
      <c r="M91">
        <v>2799</v>
      </c>
      <c r="N91">
        <v>773870</v>
      </c>
    </row>
    <row r="92" spans="13:14" x14ac:dyDescent="0.25">
      <c r="M92">
        <v>2409</v>
      </c>
      <c r="N92">
        <v>609000</v>
      </c>
    </row>
    <row r="93" spans="13:14" x14ac:dyDescent="0.25">
      <c r="M93">
        <v>1224</v>
      </c>
      <c r="N93">
        <v>580000</v>
      </c>
    </row>
    <row r="94" spans="13:14" x14ac:dyDescent="0.25">
      <c r="M94">
        <v>1683</v>
      </c>
      <c r="N94">
        <v>551000</v>
      </c>
    </row>
    <row r="95" spans="13:14" x14ac:dyDescent="0.25">
      <c r="M95">
        <v>2043</v>
      </c>
      <c r="N95">
        <v>677136</v>
      </c>
    </row>
    <row r="96" spans="13:14" x14ac:dyDescent="0.25">
      <c r="M96">
        <v>3068</v>
      </c>
      <c r="N96">
        <v>3750000</v>
      </c>
    </row>
    <row r="97" spans="13:14" x14ac:dyDescent="0.25">
      <c r="M97">
        <v>896</v>
      </c>
      <c r="N97">
        <v>330000</v>
      </c>
    </row>
    <row r="98" spans="13:14" x14ac:dyDescent="0.25">
      <c r="M98">
        <v>1148</v>
      </c>
      <c r="N98">
        <v>220000</v>
      </c>
    </row>
    <row r="99" spans="13:14" x14ac:dyDescent="0.25">
      <c r="M99">
        <v>1440</v>
      </c>
      <c r="N99">
        <v>425000</v>
      </c>
    </row>
    <row r="100" spans="13:14" x14ac:dyDescent="0.25">
      <c r="M100">
        <v>4399</v>
      </c>
      <c r="N100">
        <v>700000</v>
      </c>
    </row>
    <row r="101" spans="13:14" x14ac:dyDescent="0.25">
      <c r="M101">
        <v>3480</v>
      </c>
      <c r="N101">
        <v>333334</v>
      </c>
    </row>
    <row r="102" spans="13:14" x14ac:dyDescent="0.25">
      <c r="M102">
        <v>3334</v>
      </c>
      <c r="N102">
        <v>2400000</v>
      </c>
    </row>
    <row r="103" spans="13:14" x14ac:dyDescent="0.25">
      <c r="M103">
        <v>1260</v>
      </c>
      <c r="N103">
        <v>328500</v>
      </c>
    </row>
    <row r="104" spans="13:14" x14ac:dyDescent="0.25">
      <c r="M104">
        <v>4592</v>
      </c>
      <c r="N104">
        <v>675000</v>
      </c>
    </row>
    <row r="105" spans="13:14" x14ac:dyDescent="0.25">
      <c r="M105">
        <v>3306</v>
      </c>
      <c r="N105">
        <v>790000</v>
      </c>
    </row>
    <row r="106" spans="13:14" x14ac:dyDescent="0.25">
      <c r="M106">
        <v>3250</v>
      </c>
      <c r="N106">
        <v>450000</v>
      </c>
    </row>
    <row r="107" spans="13:14" x14ac:dyDescent="0.25">
      <c r="M107">
        <v>4290</v>
      </c>
      <c r="N107">
        <v>12000</v>
      </c>
    </row>
    <row r="108" spans="13:14" x14ac:dyDescent="0.25">
      <c r="M108">
        <v>1332</v>
      </c>
      <c r="N108">
        <v>1495000</v>
      </c>
    </row>
    <row r="109" spans="13:14" x14ac:dyDescent="0.25">
      <c r="M109">
        <v>2640</v>
      </c>
      <c r="N109">
        <v>2120000</v>
      </c>
    </row>
    <row r="110" spans="13:14" x14ac:dyDescent="0.25">
      <c r="M110">
        <v>2036</v>
      </c>
      <c r="N110">
        <v>1225000</v>
      </c>
    </row>
    <row r="111" spans="13:14" x14ac:dyDescent="0.25">
      <c r="M111">
        <v>2830</v>
      </c>
      <c r="N111">
        <v>481758</v>
      </c>
    </row>
    <row r="112" spans="13:14" x14ac:dyDescent="0.25">
      <c r="M112">
        <v>1210</v>
      </c>
      <c r="N112">
        <v>593600</v>
      </c>
    </row>
    <row r="113" spans="13:14" x14ac:dyDescent="0.25">
      <c r="M113">
        <v>3136</v>
      </c>
      <c r="N113">
        <v>750000</v>
      </c>
    </row>
    <row r="114" spans="13:14" x14ac:dyDescent="0.25">
      <c r="M114">
        <v>3172</v>
      </c>
      <c r="N114">
        <v>416605</v>
      </c>
    </row>
    <row r="115" spans="13:14" x14ac:dyDescent="0.25">
      <c r="M115">
        <v>3480</v>
      </c>
      <c r="N115">
        <v>2300000</v>
      </c>
    </row>
    <row r="116" spans="13:14" x14ac:dyDescent="0.25">
      <c r="M116">
        <v>1900</v>
      </c>
      <c r="N116">
        <v>395000</v>
      </c>
    </row>
    <row r="117" spans="13:14" x14ac:dyDescent="0.25">
      <c r="M117">
        <v>2280</v>
      </c>
      <c r="N117">
        <v>1680000</v>
      </c>
    </row>
    <row r="118" spans="13:14" x14ac:dyDescent="0.25">
      <c r="M118">
        <v>3528</v>
      </c>
      <c r="N118">
        <v>350000</v>
      </c>
    </row>
    <row r="119" spans="13:14" x14ac:dyDescent="0.25">
      <c r="M119">
        <v>3080</v>
      </c>
      <c r="N119">
        <v>400000</v>
      </c>
    </row>
    <row r="120" spans="13:14" x14ac:dyDescent="0.25">
      <c r="M120">
        <v>3078</v>
      </c>
      <c r="N120">
        <v>690000</v>
      </c>
    </row>
    <row r="121" spans="13:14" x14ac:dyDescent="0.25">
      <c r="M121">
        <v>2603</v>
      </c>
      <c r="N121">
        <v>273000</v>
      </c>
    </row>
    <row r="122" spans="13:14" x14ac:dyDescent="0.25">
      <c r="M122">
        <v>1546</v>
      </c>
      <c r="N122">
        <v>495000</v>
      </c>
    </row>
    <row r="123" spans="13:14" x14ac:dyDescent="0.25">
      <c r="M123">
        <v>1356</v>
      </c>
      <c r="N123">
        <v>460000</v>
      </c>
    </row>
    <row r="124" spans="13:14" x14ac:dyDescent="0.25">
      <c r="M124">
        <v>3726</v>
      </c>
      <c r="N124">
        <v>2600000</v>
      </c>
    </row>
    <row r="125" spans="13:14" x14ac:dyDescent="0.25">
      <c r="M125">
        <v>1200</v>
      </c>
      <c r="N125">
        <v>279511</v>
      </c>
    </row>
    <row r="126" spans="13:14" x14ac:dyDescent="0.25">
      <c r="M126">
        <v>2133</v>
      </c>
      <c r="N126">
        <v>592000</v>
      </c>
    </row>
    <row r="127" spans="13:14" x14ac:dyDescent="0.25">
      <c r="M127">
        <v>432</v>
      </c>
      <c r="N127">
        <v>435000</v>
      </c>
    </row>
    <row r="128" spans="13:14" x14ac:dyDescent="0.25">
      <c r="M128">
        <v>1496</v>
      </c>
      <c r="N128">
        <v>288400</v>
      </c>
    </row>
    <row r="129" spans="13:14" x14ac:dyDescent="0.25">
      <c r="M129">
        <v>1800</v>
      </c>
      <c r="N129">
        <v>200000</v>
      </c>
    </row>
    <row r="130" spans="13:14" x14ac:dyDescent="0.25">
      <c r="M130">
        <v>1017</v>
      </c>
      <c r="N130">
        <v>327500</v>
      </c>
    </row>
    <row r="131" spans="13:14" x14ac:dyDescent="0.25">
      <c r="M131">
        <v>3247</v>
      </c>
      <c r="N131">
        <v>400000</v>
      </c>
    </row>
    <row r="132" spans="13:14" x14ac:dyDescent="0.25">
      <c r="M132">
        <v>1216</v>
      </c>
      <c r="N132">
        <v>200000</v>
      </c>
    </row>
    <row r="133" spans="13:14" x14ac:dyDescent="0.25">
      <c r="M133">
        <v>2361</v>
      </c>
      <c r="N133">
        <v>465000</v>
      </c>
    </row>
    <row r="134" spans="13:14" x14ac:dyDescent="0.25">
      <c r="M134">
        <v>1738</v>
      </c>
      <c r="N134">
        <v>180000</v>
      </c>
    </row>
    <row r="135" spans="13:14" x14ac:dyDescent="0.25">
      <c r="M135">
        <v>2532</v>
      </c>
      <c r="N135">
        <v>680000</v>
      </c>
    </row>
    <row r="136" spans="13:14" x14ac:dyDescent="0.25">
      <c r="M136">
        <v>1207</v>
      </c>
      <c r="N136">
        <v>265798</v>
      </c>
    </row>
    <row r="137" spans="13:14" x14ac:dyDescent="0.25">
      <c r="M137">
        <v>2028</v>
      </c>
      <c r="N137">
        <v>825000</v>
      </c>
    </row>
    <row r="138" spans="13:14" x14ac:dyDescent="0.25">
      <c r="M138">
        <v>1195</v>
      </c>
      <c r="N138">
        <v>339000</v>
      </c>
    </row>
    <row r="139" spans="13:14" x14ac:dyDescent="0.25">
      <c r="M139">
        <v>3674</v>
      </c>
      <c r="N139">
        <v>980000</v>
      </c>
    </row>
    <row r="140" spans="13:14" x14ac:dyDescent="0.25">
      <c r="M140">
        <v>2364</v>
      </c>
      <c r="N140">
        <v>650000</v>
      </c>
    </row>
    <row r="141" spans="13:14" x14ac:dyDescent="0.25">
      <c r="M141">
        <v>3200</v>
      </c>
      <c r="N141">
        <v>581900</v>
      </c>
    </row>
    <row r="142" spans="13:14" x14ac:dyDescent="0.25">
      <c r="M142">
        <v>3400</v>
      </c>
      <c r="N142">
        <v>566637</v>
      </c>
    </row>
    <row r="143" spans="13:14" x14ac:dyDescent="0.25">
      <c r="M143">
        <v>1188</v>
      </c>
      <c r="N143">
        <v>470000</v>
      </c>
    </row>
    <row r="144" spans="13:14" x14ac:dyDescent="0.25">
      <c r="M144">
        <v>3780</v>
      </c>
      <c r="N144">
        <v>1275000</v>
      </c>
    </row>
    <row r="145" spans="13:14" x14ac:dyDescent="0.25">
      <c r="M145">
        <v>2450</v>
      </c>
      <c r="N145">
        <v>420000</v>
      </c>
    </row>
    <row r="146" spans="13:14" x14ac:dyDescent="0.25">
      <c r="M146">
        <v>1887</v>
      </c>
      <c r="N146">
        <v>560000</v>
      </c>
    </row>
    <row r="147" spans="13:14" x14ac:dyDescent="0.25">
      <c r="M147">
        <v>2113</v>
      </c>
      <c r="N147">
        <v>375000</v>
      </c>
    </row>
    <row r="148" spans="13:14" x14ac:dyDescent="0.25">
      <c r="M148">
        <v>3120</v>
      </c>
      <c r="N148">
        <v>1645000</v>
      </c>
    </row>
    <row r="149" spans="13:14" x14ac:dyDescent="0.25">
      <c r="M149">
        <v>1680</v>
      </c>
      <c r="N149">
        <v>950000</v>
      </c>
    </row>
    <row r="150" spans="13:14" x14ac:dyDescent="0.25">
      <c r="M150">
        <v>3000</v>
      </c>
      <c r="N150">
        <v>501930</v>
      </c>
    </row>
    <row r="151" spans="13:14" x14ac:dyDescent="0.25">
      <c r="M151">
        <v>2978</v>
      </c>
      <c r="N151">
        <v>1900000</v>
      </c>
    </row>
    <row r="152" spans="13:14" x14ac:dyDescent="0.25">
      <c r="M152">
        <v>2000</v>
      </c>
      <c r="N152">
        <v>215000</v>
      </c>
    </row>
    <row r="153" spans="13:14" x14ac:dyDescent="0.25">
      <c r="M153">
        <v>2058</v>
      </c>
      <c r="N153">
        <v>500000</v>
      </c>
    </row>
    <row r="154" spans="13:14" x14ac:dyDescent="0.25">
      <c r="M154">
        <v>4505</v>
      </c>
      <c r="N154">
        <v>1050000</v>
      </c>
    </row>
    <row r="155" spans="13:14" x14ac:dyDescent="0.25">
      <c r="M155">
        <v>1270</v>
      </c>
      <c r="N155">
        <v>440000</v>
      </c>
    </row>
    <row r="156" spans="13:14" x14ac:dyDescent="0.25">
      <c r="M156">
        <v>1232</v>
      </c>
      <c r="N156">
        <v>35000</v>
      </c>
    </row>
    <row r="157" spans="13:14" x14ac:dyDescent="0.25">
      <c r="M157">
        <v>1680</v>
      </c>
      <c r="N157">
        <v>487000</v>
      </c>
    </row>
    <row r="158" spans="13:14" x14ac:dyDescent="0.25">
      <c r="M158">
        <v>1720</v>
      </c>
      <c r="N158">
        <v>965000</v>
      </c>
    </row>
    <row r="159" spans="13:14" x14ac:dyDescent="0.25">
      <c r="M159">
        <v>2808</v>
      </c>
      <c r="N159">
        <v>480000</v>
      </c>
    </row>
    <row r="160" spans="13:14" x14ac:dyDescent="0.25">
      <c r="M160">
        <v>1340</v>
      </c>
      <c r="N160">
        <v>435000</v>
      </c>
    </row>
    <row r="161" spans="13:14" x14ac:dyDescent="0.25">
      <c r="M161">
        <v>2314</v>
      </c>
      <c r="N161">
        <v>220000</v>
      </c>
    </row>
    <row r="162" spans="13:14" x14ac:dyDescent="0.25">
      <c r="M162">
        <v>2300</v>
      </c>
      <c r="N162">
        <v>505000</v>
      </c>
    </row>
    <row r="163" spans="13:14" x14ac:dyDescent="0.25">
      <c r="M163">
        <v>2205</v>
      </c>
      <c r="N163">
        <v>1082000</v>
      </c>
    </row>
    <row r="164" spans="13:14" x14ac:dyDescent="0.25">
      <c r="M164">
        <v>2640</v>
      </c>
      <c r="N164">
        <v>1300000</v>
      </c>
    </row>
    <row r="165" spans="13:14" x14ac:dyDescent="0.25">
      <c r="M165">
        <v>1000</v>
      </c>
      <c r="N165">
        <v>550000</v>
      </c>
    </row>
    <row r="166" spans="13:14" x14ac:dyDescent="0.25">
      <c r="M166">
        <v>2250</v>
      </c>
      <c r="N166">
        <v>485000</v>
      </c>
    </row>
    <row r="167" spans="13:14" x14ac:dyDescent="0.25">
      <c r="M167">
        <v>1950</v>
      </c>
      <c r="N167">
        <v>870000</v>
      </c>
    </row>
    <row r="168" spans="13:14" x14ac:dyDescent="0.25">
      <c r="M168">
        <v>3036</v>
      </c>
      <c r="N168">
        <v>635000</v>
      </c>
    </row>
    <row r="169" spans="13:14" x14ac:dyDescent="0.25">
      <c r="M169">
        <v>1560</v>
      </c>
      <c r="N169">
        <v>1200000</v>
      </c>
    </row>
    <row r="170" spans="13:14" x14ac:dyDescent="0.25">
      <c r="M170">
        <v>4828</v>
      </c>
      <c r="N170">
        <v>2800000</v>
      </c>
    </row>
    <row r="171" spans="13:14" x14ac:dyDescent="0.25">
      <c r="M171">
        <v>1600</v>
      </c>
      <c r="N171">
        <v>203000</v>
      </c>
    </row>
    <row r="172" spans="13:14" x14ac:dyDescent="0.25">
      <c r="M172">
        <v>1302</v>
      </c>
      <c r="N172">
        <v>490000</v>
      </c>
    </row>
    <row r="173" spans="13:14" x14ac:dyDescent="0.25">
      <c r="M173">
        <v>3000</v>
      </c>
      <c r="N173">
        <v>920000</v>
      </c>
    </row>
    <row r="174" spans="13:14" x14ac:dyDescent="0.25">
      <c r="M174">
        <v>1536</v>
      </c>
      <c r="N174">
        <v>330000</v>
      </c>
    </row>
    <row r="175" spans="13:14" x14ac:dyDescent="0.25">
      <c r="M175">
        <v>2216</v>
      </c>
      <c r="N175">
        <v>650000</v>
      </c>
    </row>
    <row r="176" spans="13:14" x14ac:dyDescent="0.25">
      <c r="M176">
        <v>2746</v>
      </c>
      <c r="N176">
        <v>100000</v>
      </c>
    </row>
    <row r="177" spans="13:14" x14ac:dyDescent="0.25">
      <c r="M177">
        <v>1700</v>
      </c>
      <c r="N177">
        <v>515000</v>
      </c>
    </row>
    <row r="178" spans="13:14" x14ac:dyDescent="0.25">
      <c r="M178">
        <v>1260</v>
      </c>
      <c r="N178">
        <v>380000</v>
      </c>
    </row>
    <row r="179" spans="13:14" x14ac:dyDescent="0.25">
      <c r="M179">
        <v>1624</v>
      </c>
      <c r="N179">
        <v>522511</v>
      </c>
    </row>
    <row r="180" spans="13:14" x14ac:dyDescent="0.25">
      <c r="M180">
        <v>1720</v>
      </c>
      <c r="N180">
        <v>1110000</v>
      </c>
    </row>
    <row r="181" spans="13:14" x14ac:dyDescent="0.25">
      <c r="M181">
        <v>1520</v>
      </c>
      <c r="N181">
        <v>535000</v>
      </c>
    </row>
    <row r="182" spans="13:14" x14ac:dyDescent="0.25">
      <c r="M182">
        <v>1596</v>
      </c>
      <c r="N182">
        <v>430000</v>
      </c>
    </row>
    <row r="183" spans="13:14" x14ac:dyDescent="0.25">
      <c r="M183">
        <v>1448</v>
      </c>
      <c r="N183">
        <v>379900</v>
      </c>
    </row>
    <row r="184" spans="13:14" x14ac:dyDescent="0.25">
      <c r="M184">
        <v>1496</v>
      </c>
      <c r="N184">
        <v>950000</v>
      </c>
    </row>
    <row r="185" spans="13:14" x14ac:dyDescent="0.25">
      <c r="M185">
        <v>2100</v>
      </c>
      <c r="N185">
        <v>680000</v>
      </c>
    </row>
    <row r="186" spans="13:14" x14ac:dyDescent="0.25">
      <c r="M186">
        <v>1586</v>
      </c>
      <c r="N186">
        <v>180197</v>
      </c>
    </row>
    <row r="187" spans="13:14" x14ac:dyDescent="0.25">
      <c r="M187">
        <v>3131</v>
      </c>
      <c r="N187">
        <v>638000</v>
      </c>
    </row>
    <row r="188" spans="13:14" x14ac:dyDescent="0.25">
      <c r="M188">
        <v>1300</v>
      </c>
      <c r="N188">
        <v>850000</v>
      </c>
    </row>
    <row r="189" spans="13:14" x14ac:dyDescent="0.25">
      <c r="M189">
        <v>1764</v>
      </c>
      <c r="N189">
        <v>380000</v>
      </c>
    </row>
    <row r="190" spans="13:14" x14ac:dyDescent="0.25">
      <c r="M190">
        <v>1000</v>
      </c>
      <c r="N190">
        <v>350000</v>
      </c>
    </row>
    <row r="191" spans="13:14" x14ac:dyDescent="0.25">
      <c r="M191">
        <v>840</v>
      </c>
      <c r="N191">
        <v>622000</v>
      </c>
    </row>
    <row r="192" spans="13:14" x14ac:dyDescent="0.25">
      <c r="M192">
        <v>1800</v>
      </c>
      <c r="N192">
        <v>875000</v>
      </c>
    </row>
    <row r="193" spans="13:14" x14ac:dyDescent="0.25">
      <c r="M193">
        <v>1854</v>
      </c>
      <c r="N193">
        <v>695000</v>
      </c>
    </row>
    <row r="194" spans="13:14" x14ac:dyDescent="0.25">
      <c r="M194">
        <v>2484</v>
      </c>
      <c r="N194">
        <v>375180</v>
      </c>
    </row>
    <row r="195" spans="13:14" x14ac:dyDescent="0.25">
      <c r="M195">
        <v>1188</v>
      </c>
      <c r="N195">
        <v>535000</v>
      </c>
    </row>
    <row r="196" spans="13:14" x14ac:dyDescent="0.25">
      <c r="M196">
        <v>2800</v>
      </c>
      <c r="N196">
        <v>459756</v>
      </c>
    </row>
    <row r="197" spans="13:14" x14ac:dyDescent="0.25">
      <c r="M197">
        <v>2086</v>
      </c>
      <c r="N197">
        <v>925000</v>
      </c>
    </row>
    <row r="198" spans="13:14" x14ac:dyDescent="0.25">
      <c r="M198">
        <v>3180</v>
      </c>
      <c r="N198">
        <v>519389</v>
      </c>
    </row>
    <row r="199" spans="13:14" x14ac:dyDescent="0.25">
      <c r="M199">
        <v>2000</v>
      </c>
      <c r="N199">
        <v>640000</v>
      </c>
    </row>
    <row r="200" spans="13:14" x14ac:dyDescent="0.25">
      <c r="M200">
        <v>2268</v>
      </c>
      <c r="N200">
        <v>283250</v>
      </c>
    </row>
    <row r="201" spans="13:14" x14ac:dyDescent="0.25">
      <c r="M201">
        <v>4800</v>
      </c>
      <c r="N201">
        <v>655000</v>
      </c>
    </row>
    <row r="202" spans="13:14" x14ac:dyDescent="0.25">
      <c r="M202">
        <v>1425</v>
      </c>
      <c r="N202">
        <v>729000</v>
      </c>
    </row>
    <row r="203" spans="13:14" x14ac:dyDescent="0.25">
      <c r="M203">
        <v>1625</v>
      </c>
      <c r="N203">
        <v>565000</v>
      </c>
    </row>
    <row r="204" spans="13:14" x14ac:dyDescent="0.25">
      <c r="M204">
        <v>3840</v>
      </c>
      <c r="N204">
        <v>6400000</v>
      </c>
    </row>
    <row r="205" spans="13:14" x14ac:dyDescent="0.25">
      <c r="M205">
        <v>1143</v>
      </c>
      <c r="N205">
        <v>475000</v>
      </c>
    </row>
    <row r="206" spans="13:14" x14ac:dyDescent="0.25">
      <c r="M206">
        <v>2515</v>
      </c>
      <c r="N206">
        <v>960000</v>
      </c>
    </row>
    <row r="207" spans="13:14" x14ac:dyDescent="0.25">
      <c r="M207">
        <v>1408</v>
      </c>
      <c r="N207">
        <v>400000</v>
      </c>
    </row>
    <row r="208" spans="13:14" x14ac:dyDescent="0.25">
      <c r="M208">
        <v>1080</v>
      </c>
      <c r="N208">
        <v>360000</v>
      </c>
    </row>
    <row r="209" spans="13:14" x14ac:dyDescent="0.25">
      <c r="M209">
        <v>5096</v>
      </c>
      <c r="N209">
        <v>1750000</v>
      </c>
    </row>
    <row r="210" spans="13:14" x14ac:dyDescent="0.25">
      <c r="M210">
        <v>2536</v>
      </c>
      <c r="N210">
        <v>825000</v>
      </c>
    </row>
    <row r="211" spans="13:14" x14ac:dyDescent="0.25">
      <c r="M211">
        <v>1760</v>
      </c>
      <c r="N211">
        <v>373000</v>
      </c>
    </row>
    <row r="212" spans="13:14" x14ac:dyDescent="0.25">
      <c r="M212">
        <v>2046</v>
      </c>
      <c r="N212">
        <v>555000</v>
      </c>
    </row>
    <row r="213" spans="13:14" x14ac:dyDescent="0.25">
      <c r="M213">
        <v>2392</v>
      </c>
      <c r="N213">
        <v>815000</v>
      </c>
    </row>
    <row r="214" spans="13:14" x14ac:dyDescent="0.25">
      <c r="M214">
        <v>1260</v>
      </c>
      <c r="N214">
        <v>590000</v>
      </c>
    </row>
    <row r="215" spans="13:14" x14ac:dyDescent="0.25">
      <c r="M215">
        <v>3300</v>
      </c>
      <c r="N215">
        <v>1050000</v>
      </c>
    </row>
    <row r="216" spans="13:14" x14ac:dyDescent="0.25">
      <c r="M216">
        <v>1120</v>
      </c>
      <c r="N216">
        <v>700000</v>
      </c>
    </row>
    <row r="217" spans="13:14" x14ac:dyDescent="0.25">
      <c r="M217">
        <v>1560</v>
      </c>
      <c r="N217">
        <v>595000</v>
      </c>
    </row>
    <row r="218" spans="13:14" x14ac:dyDescent="0.25">
      <c r="M218">
        <v>2205</v>
      </c>
      <c r="N218">
        <v>510000</v>
      </c>
    </row>
    <row r="219" spans="13:14" x14ac:dyDescent="0.25">
      <c r="M219">
        <v>1568</v>
      </c>
      <c r="N219">
        <v>965000</v>
      </c>
    </row>
    <row r="220" spans="13:14" x14ac:dyDescent="0.25">
      <c r="M220">
        <v>1800</v>
      </c>
      <c r="N220">
        <v>500000</v>
      </c>
    </row>
    <row r="221" spans="13:14" x14ac:dyDescent="0.25">
      <c r="M221">
        <v>1920</v>
      </c>
      <c r="N221">
        <v>775000</v>
      </c>
    </row>
    <row r="222" spans="13:14" x14ac:dyDescent="0.25">
      <c r="M222">
        <v>2040</v>
      </c>
      <c r="N222">
        <v>410000</v>
      </c>
    </row>
    <row r="223" spans="13:14" x14ac:dyDescent="0.25">
      <c r="M223">
        <v>3336</v>
      </c>
      <c r="N223">
        <v>1075000</v>
      </c>
    </row>
    <row r="224" spans="13:14" x14ac:dyDescent="0.25">
      <c r="M224">
        <v>2248</v>
      </c>
      <c r="N224">
        <v>180000</v>
      </c>
    </row>
    <row r="225" spans="13:14" x14ac:dyDescent="0.25">
      <c r="M225">
        <v>3024</v>
      </c>
      <c r="N225">
        <v>2350000</v>
      </c>
    </row>
    <row r="226" spans="13:14" x14ac:dyDescent="0.25">
      <c r="M226">
        <v>1568</v>
      </c>
      <c r="N226">
        <v>625000</v>
      </c>
    </row>
    <row r="227" spans="13:14" x14ac:dyDescent="0.25">
      <c r="M227">
        <v>2544</v>
      </c>
      <c r="N227">
        <v>750000</v>
      </c>
    </row>
    <row r="228" spans="13:14" x14ac:dyDescent="0.25">
      <c r="M228">
        <v>1533</v>
      </c>
      <c r="N228">
        <v>311000</v>
      </c>
    </row>
    <row r="229" spans="13:14" x14ac:dyDescent="0.25">
      <c r="M229">
        <v>780</v>
      </c>
      <c r="N229">
        <v>374000</v>
      </c>
    </row>
    <row r="230" spans="13:14" x14ac:dyDescent="0.25">
      <c r="M230">
        <v>1350</v>
      </c>
      <c r="N230">
        <v>1220000</v>
      </c>
    </row>
    <row r="231" spans="13:14" x14ac:dyDescent="0.25">
      <c r="M231">
        <v>2380</v>
      </c>
      <c r="N231">
        <v>720000</v>
      </c>
    </row>
    <row r="232" spans="13:14" x14ac:dyDescent="0.25">
      <c r="M232">
        <v>9784</v>
      </c>
      <c r="N232">
        <v>2100000</v>
      </c>
    </row>
    <row r="233" spans="13:14" x14ac:dyDescent="0.25">
      <c r="M233">
        <v>1888</v>
      </c>
      <c r="N233">
        <v>425000</v>
      </c>
    </row>
    <row r="234" spans="13:14" x14ac:dyDescent="0.25">
      <c r="M234">
        <v>2600</v>
      </c>
      <c r="N234">
        <v>1975000</v>
      </c>
    </row>
    <row r="235" spans="13:14" x14ac:dyDescent="0.25">
      <c r="M235">
        <v>1800</v>
      </c>
      <c r="N235">
        <v>244500</v>
      </c>
    </row>
    <row r="236" spans="13:14" x14ac:dyDescent="0.25">
      <c r="M236">
        <v>1472</v>
      </c>
      <c r="N236">
        <v>600000</v>
      </c>
    </row>
    <row r="237" spans="13:14" x14ac:dyDescent="0.25">
      <c r="M237">
        <v>2178</v>
      </c>
      <c r="N237">
        <v>670000</v>
      </c>
    </row>
    <row r="238" spans="13:14" x14ac:dyDescent="0.25">
      <c r="M238">
        <v>1408</v>
      </c>
      <c r="N238">
        <v>990000</v>
      </c>
    </row>
    <row r="239" spans="13:14" x14ac:dyDescent="0.25">
      <c r="M239">
        <v>3300</v>
      </c>
      <c r="N239">
        <v>635000</v>
      </c>
    </row>
    <row r="240" spans="13:14" x14ac:dyDescent="0.25">
      <c r="M240">
        <v>2048</v>
      </c>
      <c r="N240">
        <v>590000</v>
      </c>
    </row>
    <row r="241" spans="13:14" x14ac:dyDescent="0.25">
      <c r="M241">
        <v>3140</v>
      </c>
      <c r="N241">
        <v>761141</v>
      </c>
    </row>
    <row r="242" spans="13:14" x14ac:dyDescent="0.25">
      <c r="M242">
        <v>1584</v>
      </c>
      <c r="N242">
        <v>165000</v>
      </c>
    </row>
    <row r="243" spans="13:14" x14ac:dyDescent="0.25">
      <c r="M243">
        <v>1312</v>
      </c>
      <c r="N243">
        <v>225000</v>
      </c>
    </row>
    <row r="244" spans="13:14" x14ac:dyDescent="0.25">
      <c r="M244">
        <v>1328</v>
      </c>
      <c r="N244">
        <v>430000</v>
      </c>
    </row>
    <row r="245" spans="13:14" x14ac:dyDescent="0.25">
      <c r="M245">
        <v>2312</v>
      </c>
      <c r="N245">
        <v>479999</v>
      </c>
    </row>
    <row r="246" spans="13:14" x14ac:dyDescent="0.25">
      <c r="M246">
        <v>2875</v>
      </c>
      <c r="N246">
        <v>1060000</v>
      </c>
    </row>
    <row r="247" spans="13:14" x14ac:dyDescent="0.25">
      <c r="M247">
        <v>1080</v>
      </c>
      <c r="N247">
        <v>330000</v>
      </c>
    </row>
    <row r="248" spans="13:14" x14ac:dyDescent="0.25">
      <c r="M248">
        <v>1782</v>
      </c>
      <c r="N248">
        <v>320000</v>
      </c>
    </row>
    <row r="249" spans="13:14" x14ac:dyDescent="0.25">
      <c r="M249">
        <v>2736</v>
      </c>
      <c r="N249">
        <v>810000</v>
      </c>
    </row>
    <row r="250" spans="13:14" x14ac:dyDescent="0.25">
      <c r="M250">
        <v>3800</v>
      </c>
      <c r="N250">
        <v>300000</v>
      </c>
    </row>
    <row r="251" spans="13:14" x14ac:dyDescent="0.25">
      <c r="M251">
        <v>6500</v>
      </c>
      <c r="N251">
        <v>3295000</v>
      </c>
    </row>
    <row r="252" spans="13:14" x14ac:dyDescent="0.25">
      <c r="M252">
        <v>1650</v>
      </c>
      <c r="N252">
        <v>427450</v>
      </c>
    </row>
    <row r="253" spans="13:14" x14ac:dyDescent="0.25">
      <c r="M253">
        <v>3520</v>
      </c>
      <c r="N253">
        <v>115000</v>
      </c>
    </row>
    <row r="254" spans="13:14" x14ac:dyDescent="0.25">
      <c r="M254">
        <v>2650</v>
      </c>
      <c r="N254">
        <v>740000</v>
      </c>
    </row>
    <row r="255" spans="13:14" x14ac:dyDescent="0.25">
      <c r="M255">
        <v>960</v>
      </c>
      <c r="N255">
        <v>331500</v>
      </c>
    </row>
    <row r="256" spans="13:14" x14ac:dyDescent="0.25">
      <c r="M256">
        <v>2280</v>
      </c>
      <c r="N256">
        <v>418000</v>
      </c>
    </row>
    <row r="257" spans="13:14" x14ac:dyDescent="0.25">
      <c r="M257">
        <v>1897</v>
      </c>
      <c r="N257">
        <v>880000</v>
      </c>
    </row>
    <row r="258" spans="13:14" x14ac:dyDescent="0.25">
      <c r="M258">
        <v>2000</v>
      </c>
      <c r="N258">
        <v>470000</v>
      </c>
    </row>
    <row r="259" spans="13:14" x14ac:dyDescent="0.25">
      <c r="M259">
        <v>1530</v>
      </c>
      <c r="N259">
        <v>480000</v>
      </c>
    </row>
    <row r="260" spans="13:14" x14ac:dyDescent="0.25">
      <c r="M260">
        <v>1404</v>
      </c>
      <c r="N260">
        <v>182272</v>
      </c>
    </row>
    <row r="261" spans="13:14" x14ac:dyDescent="0.25">
      <c r="M261">
        <v>1720</v>
      </c>
      <c r="N261">
        <v>565000</v>
      </c>
    </row>
    <row r="262" spans="13:14" x14ac:dyDescent="0.25">
      <c r="M262">
        <v>1476</v>
      </c>
      <c r="N262">
        <v>182000</v>
      </c>
    </row>
    <row r="263" spans="13:14" x14ac:dyDescent="0.25">
      <c r="M263">
        <v>3000</v>
      </c>
      <c r="N263">
        <v>250000</v>
      </c>
    </row>
    <row r="264" spans="13:14" x14ac:dyDescent="0.25">
      <c r="M264">
        <v>1625</v>
      </c>
      <c r="N264">
        <v>567100</v>
      </c>
    </row>
    <row r="265" spans="13:14" x14ac:dyDescent="0.25">
      <c r="M265">
        <v>1480</v>
      </c>
      <c r="N265">
        <v>479550</v>
      </c>
    </row>
    <row r="266" spans="13:14" x14ac:dyDescent="0.25">
      <c r="M266">
        <v>2080</v>
      </c>
      <c r="N266">
        <v>725000</v>
      </c>
    </row>
    <row r="267" spans="13:14" x14ac:dyDescent="0.25">
      <c r="M267">
        <v>1300</v>
      </c>
      <c r="N267">
        <v>385000</v>
      </c>
    </row>
    <row r="268" spans="13:14" x14ac:dyDescent="0.25">
      <c r="M268">
        <v>1540</v>
      </c>
      <c r="N268">
        <v>356300</v>
      </c>
    </row>
    <row r="269" spans="13:14" x14ac:dyDescent="0.25">
      <c r="M269">
        <v>2176</v>
      </c>
      <c r="N269">
        <v>585493</v>
      </c>
    </row>
    <row r="270" spans="13:14" x14ac:dyDescent="0.25">
      <c r="M270">
        <v>3440</v>
      </c>
      <c r="N270">
        <v>5750000</v>
      </c>
    </row>
    <row r="271" spans="13:14" x14ac:dyDescent="0.25">
      <c r="M271">
        <v>1496</v>
      </c>
      <c r="N271">
        <v>276600</v>
      </c>
    </row>
    <row r="272" spans="13:14" x14ac:dyDescent="0.25">
      <c r="M272">
        <v>1920</v>
      </c>
      <c r="N272">
        <v>775000</v>
      </c>
    </row>
    <row r="273" spans="13:14" x14ac:dyDescent="0.25">
      <c r="M273">
        <v>2100</v>
      </c>
      <c r="N273">
        <v>301600</v>
      </c>
    </row>
    <row r="274" spans="13:14" x14ac:dyDescent="0.25">
      <c r="M274">
        <v>3260</v>
      </c>
      <c r="N274">
        <v>820000</v>
      </c>
    </row>
    <row r="275" spans="13:14" x14ac:dyDescent="0.25">
      <c r="M275">
        <v>2958</v>
      </c>
      <c r="N275">
        <v>615000</v>
      </c>
    </row>
    <row r="276" spans="13:14" x14ac:dyDescent="0.25">
      <c r="M276">
        <v>2240</v>
      </c>
      <c r="N276">
        <v>415000</v>
      </c>
    </row>
    <row r="277" spans="13:14" x14ac:dyDescent="0.25">
      <c r="M277">
        <v>1031</v>
      </c>
      <c r="N277">
        <v>850000</v>
      </c>
    </row>
    <row r="278" spans="13:14" x14ac:dyDescent="0.25">
      <c r="M278">
        <v>1643</v>
      </c>
      <c r="N278">
        <v>693000</v>
      </c>
    </row>
    <row r="279" spans="13:14" x14ac:dyDescent="0.25">
      <c r="M279">
        <v>1148</v>
      </c>
      <c r="N279">
        <v>289000</v>
      </c>
    </row>
    <row r="280" spans="13:14" x14ac:dyDescent="0.25">
      <c r="M280">
        <v>1416</v>
      </c>
      <c r="N280">
        <v>580000</v>
      </c>
    </row>
    <row r="281" spans="13:14" x14ac:dyDescent="0.25">
      <c r="M281">
        <v>3450</v>
      </c>
      <c r="N281">
        <v>1091800</v>
      </c>
    </row>
    <row r="282" spans="13:14" x14ac:dyDescent="0.25">
      <c r="M282">
        <v>2800</v>
      </c>
      <c r="N282">
        <v>623823</v>
      </c>
    </row>
    <row r="283" spans="13:14" x14ac:dyDescent="0.25">
      <c r="M283">
        <v>2080</v>
      </c>
      <c r="N283">
        <v>499900</v>
      </c>
    </row>
    <row r="284" spans="13:14" x14ac:dyDescent="0.25">
      <c r="M284">
        <v>1760</v>
      </c>
      <c r="N284">
        <v>750000</v>
      </c>
    </row>
    <row r="285" spans="13:14" x14ac:dyDescent="0.25">
      <c r="M285">
        <v>1620</v>
      </c>
      <c r="N285">
        <v>610000</v>
      </c>
    </row>
    <row r="286" spans="13:14" x14ac:dyDescent="0.25">
      <c r="M286">
        <v>3600</v>
      </c>
      <c r="N286">
        <v>1250000</v>
      </c>
    </row>
    <row r="287" spans="13:14" x14ac:dyDescent="0.25">
      <c r="M287">
        <v>2914</v>
      </c>
      <c r="N287">
        <v>535000</v>
      </c>
    </row>
    <row r="288" spans="13:14" x14ac:dyDescent="0.25">
      <c r="M288">
        <v>1310</v>
      </c>
      <c r="N288">
        <v>535000</v>
      </c>
    </row>
    <row r="289" spans="13:14" x14ac:dyDescent="0.25">
      <c r="M289">
        <v>1890</v>
      </c>
      <c r="N289">
        <v>365000</v>
      </c>
    </row>
    <row r="290" spans="13:14" x14ac:dyDescent="0.25">
      <c r="M290">
        <v>3150</v>
      </c>
      <c r="N290">
        <v>690000</v>
      </c>
    </row>
    <row r="291" spans="13:14" x14ac:dyDescent="0.25">
      <c r="M291">
        <v>2988</v>
      </c>
      <c r="N291">
        <v>712000</v>
      </c>
    </row>
    <row r="292" spans="13:14" x14ac:dyDescent="0.25">
      <c r="M292">
        <v>2828</v>
      </c>
      <c r="N292">
        <v>1825000</v>
      </c>
    </row>
    <row r="293" spans="13:14" x14ac:dyDescent="0.25">
      <c r="M293">
        <v>1728</v>
      </c>
      <c r="N293">
        <v>235000</v>
      </c>
    </row>
    <row r="294" spans="13:14" x14ac:dyDescent="0.25">
      <c r="M294">
        <v>920</v>
      </c>
      <c r="N294">
        <v>180000</v>
      </c>
    </row>
    <row r="295" spans="13:14" x14ac:dyDescent="0.25">
      <c r="M295">
        <v>2700</v>
      </c>
      <c r="N295">
        <v>185000</v>
      </c>
    </row>
    <row r="296" spans="13:14" x14ac:dyDescent="0.25">
      <c r="M296">
        <v>870</v>
      </c>
      <c r="N296">
        <v>320000</v>
      </c>
    </row>
    <row r="297" spans="13:14" x14ac:dyDescent="0.25">
      <c r="M297">
        <v>3096</v>
      </c>
      <c r="N297">
        <v>535000</v>
      </c>
    </row>
    <row r="298" spans="13:14" x14ac:dyDescent="0.25">
      <c r="M298">
        <v>1657</v>
      </c>
      <c r="N298">
        <v>260000</v>
      </c>
    </row>
    <row r="299" spans="13:14" x14ac:dyDescent="0.25">
      <c r="M299">
        <v>1056</v>
      </c>
      <c r="N299">
        <v>594000</v>
      </c>
    </row>
    <row r="300" spans="13:14" x14ac:dyDescent="0.25">
      <c r="M300">
        <v>2818</v>
      </c>
      <c r="N300">
        <v>658000</v>
      </c>
    </row>
    <row r="301" spans="13:14" x14ac:dyDescent="0.25">
      <c r="M301">
        <v>2196</v>
      </c>
      <c r="N301">
        <v>1150000</v>
      </c>
    </row>
    <row r="302" spans="13:14" x14ac:dyDescent="0.25">
      <c r="M302">
        <v>1152</v>
      </c>
      <c r="N302">
        <v>465000</v>
      </c>
    </row>
    <row r="303" spans="13:14" x14ac:dyDescent="0.25">
      <c r="M303">
        <v>2676</v>
      </c>
      <c r="N303">
        <v>465000</v>
      </c>
    </row>
    <row r="304" spans="13:14" x14ac:dyDescent="0.25">
      <c r="M304">
        <v>2586</v>
      </c>
      <c r="N304">
        <v>979000</v>
      </c>
    </row>
    <row r="305" spans="13:14" x14ac:dyDescent="0.25">
      <c r="M305">
        <v>1584</v>
      </c>
      <c r="N305">
        <v>76850</v>
      </c>
    </row>
    <row r="306" spans="13:14" x14ac:dyDescent="0.25">
      <c r="M306">
        <v>5670</v>
      </c>
      <c r="N306">
        <v>500000</v>
      </c>
    </row>
    <row r="307" spans="13:14" x14ac:dyDescent="0.25">
      <c r="M307">
        <v>2757</v>
      </c>
      <c r="N307">
        <v>796000</v>
      </c>
    </row>
    <row r="308" spans="13:14" x14ac:dyDescent="0.25">
      <c r="M308">
        <v>2016</v>
      </c>
      <c r="N308">
        <v>450000</v>
      </c>
    </row>
    <row r="309" spans="13:14" x14ac:dyDescent="0.25">
      <c r="M309">
        <v>2192</v>
      </c>
      <c r="N309">
        <v>458000</v>
      </c>
    </row>
    <row r="310" spans="13:14" x14ac:dyDescent="0.25">
      <c r="M310">
        <v>750</v>
      </c>
      <c r="N310">
        <v>225000</v>
      </c>
    </row>
    <row r="311" spans="13:14" x14ac:dyDescent="0.25">
      <c r="M311">
        <v>1408</v>
      </c>
      <c r="N311">
        <v>325000</v>
      </c>
    </row>
    <row r="312" spans="13:14" x14ac:dyDescent="0.25">
      <c r="M312">
        <v>4530</v>
      </c>
      <c r="N312">
        <v>1500000</v>
      </c>
    </row>
    <row r="313" spans="13:14" x14ac:dyDescent="0.25">
      <c r="M313">
        <v>845</v>
      </c>
      <c r="N313">
        <v>650000</v>
      </c>
    </row>
    <row r="314" spans="13:14" x14ac:dyDescent="0.25">
      <c r="M314">
        <v>3420</v>
      </c>
      <c r="N314">
        <v>160000</v>
      </c>
    </row>
    <row r="315" spans="13:14" x14ac:dyDescent="0.25">
      <c r="M315">
        <v>2160</v>
      </c>
      <c r="N315">
        <v>585000</v>
      </c>
    </row>
    <row r="316" spans="13:14" x14ac:dyDescent="0.25">
      <c r="M316">
        <v>2130</v>
      </c>
      <c r="N316">
        <v>1150000</v>
      </c>
    </row>
    <row r="317" spans="13:14" x14ac:dyDescent="0.25">
      <c r="M317">
        <v>1452</v>
      </c>
      <c r="N317">
        <v>790000</v>
      </c>
    </row>
    <row r="318" spans="13:14" x14ac:dyDescent="0.25">
      <c r="M318">
        <v>3229</v>
      </c>
      <c r="N318">
        <v>595676</v>
      </c>
    </row>
    <row r="319" spans="13:14" x14ac:dyDescent="0.25">
      <c r="M319">
        <v>1344</v>
      </c>
      <c r="N319">
        <v>490000</v>
      </c>
    </row>
    <row r="320" spans="13:14" x14ac:dyDescent="0.25">
      <c r="M320">
        <v>3449</v>
      </c>
      <c r="N320">
        <v>450000</v>
      </c>
    </row>
    <row r="321" spans="13:14" x14ac:dyDescent="0.25">
      <c r="M321">
        <v>2008</v>
      </c>
      <c r="N321">
        <v>350000</v>
      </c>
    </row>
    <row r="322" spans="13:14" x14ac:dyDescent="0.25">
      <c r="M322">
        <v>1840</v>
      </c>
      <c r="N322">
        <v>1050000</v>
      </c>
    </row>
    <row r="323" spans="13:14" x14ac:dyDescent="0.25">
      <c r="M323">
        <v>870</v>
      </c>
      <c r="N323">
        <v>475000</v>
      </c>
    </row>
    <row r="324" spans="13:14" x14ac:dyDescent="0.25">
      <c r="M324">
        <v>1784</v>
      </c>
      <c r="N324">
        <v>289900</v>
      </c>
    </row>
    <row r="325" spans="13:14" x14ac:dyDescent="0.25">
      <c r="M325">
        <v>2144</v>
      </c>
      <c r="N325">
        <v>790000</v>
      </c>
    </row>
    <row r="326" spans="13:14" x14ac:dyDescent="0.25">
      <c r="M326">
        <v>2760</v>
      </c>
      <c r="N326">
        <v>578000</v>
      </c>
    </row>
    <row r="327" spans="13:14" x14ac:dyDescent="0.25">
      <c r="M327">
        <v>2498</v>
      </c>
      <c r="N327">
        <v>1240000</v>
      </c>
    </row>
    <row r="328" spans="13:14" x14ac:dyDescent="0.25">
      <c r="M328">
        <v>1232</v>
      </c>
      <c r="N328">
        <v>320000</v>
      </c>
    </row>
    <row r="329" spans="13:14" x14ac:dyDescent="0.25">
      <c r="M329">
        <v>1615</v>
      </c>
      <c r="N329">
        <v>550000</v>
      </c>
    </row>
    <row r="330" spans="13:14" x14ac:dyDescent="0.25">
      <c r="M330">
        <v>2808</v>
      </c>
      <c r="N330">
        <v>520000</v>
      </c>
    </row>
    <row r="331" spans="13:14" x14ac:dyDescent="0.25">
      <c r="M331">
        <v>3192</v>
      </c>
      <c r="N331">
        <v>187500</v>
      </c>
    </row>
    <row r="332" spans="13:14" x14ac:dyDescent="0.25">
      <c r="M332">
        <v>1362</v>
      </c>
      <c r="N332">
        <v>999000</v>
      </c>
    </row>
    <row r="333" spans="13:14" x14ac:dyDescent="0.25">
      <c r="M333">
        <v>1746</v>
      </c>
      <c r="N333">
        <v>450000</v>
      </c>
    </row>
    <row r="334" spans="13:14" x14ac:dyDescent="0.25">
      <c r="M334">
        <v>2284</v>
      </c>
      <c r="N334">
        <v>820000</v>
      </c>
    </row>
    <row r="335" spans="13:14" x14ac:dyDescent="0.25">
      <c r="M335">
        <v>2538</v>
      </c>
      <c r="N335">
        <v>898000</v>
      </c>
    </row>
    <row r="336" spans="13:14" x14ac:dyDescent="0.25">
      <c r="M336">
        <v>1436</v>
      </c>
      <c r="N336">
        <v>948000</v>
      </c>
    </row>
    <row r="337" spans="13:14" x14ac:dyDescent="0.25">
      <c r="M337">
        <v>1696</v>
      </c>
      <c r="N337">
        <v>30000</v>
      </c>
    </row>
    <row r="338" spans="13:14" x14ac:dyDescent="0.25">
      <c r="M338">
        <v>3300</v>
      </c>
      <c r="N338">
        <v>499000</v>
      </c>
    </row>
    <row r="339" spans="13:14" x14ac:dyDescent="0.25">
      <c r="M339">
        <v>2352</v>
      </c>
      <c r="N339">
        <v>1750000</v>
      </c>
    </row>
    <row r="340" spans="13:14" x14ac:dyDescent="0.25">
      <c r="M340">
        <v>1472</v>
      </c>
      <c r="N340">
        <v>668000</v>
      </c>
    </row>
    <row r="341" spans="13:14" x14ac:dyDescent="0.25">
      <c r="M341">
        <v>3384</v>
      </c>
      <c r="N341">
        <v>970000</v>
      </c>
    </row>
    <row r="342" spans="13:14" x14ac:dyDescent="0.25">
      <c r="M342">
        <v>2172</v>
      </c>
      <c r="N342">
        <v>137500</v>
      </c>
    </row>
    <row r="343" spans="13:14" x14ac:dyDescent="0.25">
      <c r="M343">
        <v>1200</v>
      </c>
      <c r="N343">
        <v>330000</v>
      </c>
    </row>
    <row r="344" spans="13:14" x14ac:dyDescent="0.25">
      <c r="M344">
        <v>1764</v>
      </c>
      <c r="N344">
        <v>550000</v>
      </c>
    </row>
    <row r="345" spans="13:14" x14ac:dyDescent="0.25">
      <c r="M345">
        <v>1135</v>
      </c>
      <c r="N345">
        <v>520000</v>
      </c>
    </row>
    <row r="346" spans="13:14" x14ac:dyDescent="0.25">
      <c r="M346">
        <v>3025</v>
      </c>
      <c r="N346">
        <v>408000</v>
      </c>
    </row>
    <row r="347" spans="13:14" x14ac:dyDescent="0.25">
      <c r="M347">
        <v>1960</v>
      </c>
      <c r="N347">
        <v>480000</v>
      </c>
    </row>
    <row r="348" spans="13:14" x14ac:dyDescent="0.25">
      <c r="M348">
        <v>2964</v>
      </c>
      <c r="N348">
        <v>500000</v>
      </c>
    </row>
    <row r="349" spans="13:14" x14ac:dyDescent="0.25">
      <c r="M349">
        <v>3198</v>
      </c>
      <c r="N349">
        <v>445000</v>
      </c>
    </row>
    <row r="350" spans="13:14" x14ac:dyDescent="0.25">
      <c r="M350">
        <v>1780</v>
      </c>
      <c r="N350">
        <v>380000</v>
      </c>
    </row>
    <row r="351" spans="13:14" x14ac:dyDescent="0.25">
      <c r="M351">
        <v>2730</v>
      </c>
      <c r="N351">
        <v>555000</v>
      </c>
    </row>
    <row r="352" spans="13:14" x14ac:dyDescent="0.25">
      <c r="M352">
        <v>2232</v>
      </c>
      <c r="N352">
        <v>785000</v>
      </c>
    </row>
    <row r="353" spans="13:14" x14ac:dyDescent="0.25">
      <c r="M353">
        <v>1938</v>
      </c>
      <c r="N353">
        <v>1629200</v>
      </c>
    </row>
    <row r="354" spans="13:14" x14ac:dyDescent="0.25">
      <c r="M354">
        <v>2208</v>
      </c>
      <c r="N354">
        <v>220000</v>
      </c>
    </row>
    <row r="355" spans="13:14" x14ac:dyDescent="0.25">
      <c r="M355">
        <v>4400</v>
      </c>
      <c r="N355">
        <v>1200000</v>
      </c>
    </row>
    <row r="356" spans="13:14" x14ac:dyDescent="0.25">
      <c r="M356">
        <v>2400</v>
      </c>
      <c r="N356">
        <v>320000</v>
      </c>
    </row>
    <row r="357" spans="13:14" x14ac:dyDescent="0.25">
      <c r="M357">
        <v>1672</v>
      </c>
      <c r="N357">
        <v>385500</v>
      </c>
    </row>
    <row r="358" spans="13:14" x14ac:dyDescent="0.25">
      <c r="M358">
        <v>945</v>
      </c>
      <c r="N358">
        <v>615000</v>
      </c>
    </row>
    <row r="359" spans="13:14" x14ac:dyDescent="0.25">
      <c r="M359">
        <v>1246</v>
      </c>
      <c r="N359">
        <v>472500</v>
      </c>
    </row>
    <row r="360" spans="13:14" x14ac:dyDescent="0.25">
      <c r="M360">
        <v>1204</v>
      </c>
      <c r="N360">
        <v>95199</v>
      </c>
    </row>
    <row r="361" spans="13:14" x14ac:dyDescent="0.25">
      <c r="M361">
        <v>6000</v>
      </c>
      <c r="N361">
        <v>450000</v>
      </c>
    </row>
    <row r="362" spans="13:14" x14ac:dyDescent="0.25">
      <c r="M362">
        <v>3587</v>
      </c>
      <c r="N362">
        <v>775000</v>
      </c>
    </row>
    <row r="363" spans="13:14" x14ac:dyDescent="0.25">
      <c r="M363">
        <v>1920</v>
      </c>
      <c r="N363">
        <v>690000</v>
      </c>
    </row>
    <row r="364" spans="13:14" x14ac:dyDescent="0.25">
      <c r="M364">
        <v>2074</v>
      </c>
      <c r="N364">
        <v>725000</v>
      </c>
    </row>
    <row r="365" spans="13:14" x14ac:dyDescent="0.25">
      <c r="M365">
        <v>1804</v>
      </c>
      <c r="N365">
        <v>356427</v>
      </c>
    </row>
    <row r="366" spans="13:14" x14ac:dyDescent="0.25">
      <c r="M366">
        <v>2144</v>
      </c>
      <c r="N366">
        <v>798000</v>
      </c>
    </row>
    <row r="367" spans="13:14" x14ac:dyDescent="0.25">
      <c r="M367">
        <v>1500</v>
      </c>
      <c r="N367">
        <v>592000</v>
      </c>
    </row>
    <row r="368" spans="13:14" x14ac:dyDescent="0.25">
      <c r="M368">
        <v>2025</v>
      </c>
      <c r="N368">
        <v>585000</v>
      </c>
    </row>
    <row r="369" spans="13:14" x14ac:dyDescent="0.25">
      <c r="M369">
        <v>4499</v>
      </c>
      <c r="N369">
        <v>1350000</v>
      </c>
    </row>
    <row r="370" spans="13:14" x14ac:dyDescent="0.25">
      <c r="M370">
        <v>3000</v>
      </c>
      <c r="N370">
        <v>1300000</v>
      </c>
    </row>
    <row r="371" spans="13:14" x14ac:dyDescent="0.25">
      <c r="M371">
        <v>1646</v>
      </c>
      <c r="N371">
        <v>1743000</v>
      </c>
    </row>
    <row r="372" spans="13:14" x14ac:dyDescent="0.25">
      <c r="M372">
        <v>2805</v>
      </c>
      <c r="N372">
        <v>875000</v>
      </c>
    </row>
    <row r="373" spans="13:14" x14ac:dyDescent="0.25">
      <c r="M373">
        <v>1296</v>
      </c>
      <c r="N373">
        <v>305000</v>
      </c>
    </row>
    <row r="374" spans="13:14" x14ac:dyDescent="0.25">
      <c r="M374">
        <v>1440</v>
      </c>
      <c r="N374">
        <v>680000</v>
      </c>
    </row>
    <row r="375" spans="13:14" x14ac:dyDescent="0.25">
      <c r="M375">
        <v>3201</v>
      </c>
      <c r="N375">
        <v>2100000</v>
      </c>
    </row>
    <row r="376" spans="13:14" x14ac:dyDescent="0.25">
      <c r="M376">
        <v>1890</v>
      </c>
      <c r="N376">
        <v>561116</v>
      </c>
    </row>
    <row r="377" spans="13:14" x14ac:dyDescent="0.25">
      <c r="M377">
        <v>1494</v>
      </c>
      <c r="N377">
        <v>370000</v>
      </c>
    </row>
    <row r="378" spans="13:14" x14ac:dyDescent="0.25">
      <c r="M378">
        <v>2912</v>
      </c>
      <c r="N378">
        <v>3825000</v>
      </c>
    </row>
    <row r="379" spans="13:14" x14ac:dyDescent="0.25">
      <c r="M379">
        <v>1332</v>
      </c>
      <c r="N379">
        <v>473000</v>
      </c>
    </row>
    <row r="380" spans="13:14" x14ac:dyDescent="0.25">
      <c r="M380">
        <v>2880</v>
      </c>
      <c r="N380">
        <v>505500</v>
      </c>
    </row>
    <row r="381" spans="13:14" x14ac:dyDescent="0.25">
      <c r="M381">
        <v>1765</v>
      </c>
      <c r="N381">
        <v>680000</v>
      </c>
    </row>
    <row r="382" spans="13:14" x14ac:dyDescent="0.25">
      <c r="M382">
        <v>2058</v>
      </c>
      <c r="N382">
        <v>1420000</v>
      </c>
    </row>
    <row r="383" spans="13:14" x14ac:dyDescent="0.25">
      <c r="M383">
        <v>1356</v>
      </c>
      <c r="N383">
        <v>315000</v>
      </c>
    </row>
    <row r="384" spans="13:14" x14ac:dyDescent="0.25">
      <c r="M384">
        <v>1640</v>
      </c>
      <c r="N384">
        <v>1250000</v>
      </c>
    </row>
    <row r="385" spans="13:14" x14ac:dyDescent="0.25">
      <c r="M385">
        <v>973</v>
      </c>
      <c r="N385">
        <v>780000</v>
      </c>
    </row>
    <row r="386" spans="13:14" x14ac:dyDescent="0.25">
      <c r="M386">
        <v>4725</v>
      </c>
      <c r="N386">
        <v>1725000</v>
      </c>
    </row>
    <row r="387" spans="13:14" x14ac:dyDescent="0.25">
      <c r="M387">
        <v>988</v>
      </c>
      <c r="N387">
        <v>475000</v>
      </c>
    </row>
    <row r="388" spans="13:14" x14ac:dyDescent="0.25">
      <c r="M388">
        <v>1796</v>
      </c>
      <c r="N388">
        <v>510000</v>
      </c>
    </row>
    <row r="389" spans="13:14" x14ac:dyDescent="0.25">
      <c r="M389">
        <v>3228</v>
      </c>
      <c r="N389">
        <v>1250000</v>
      </c>
    </row>
    <row r="390" spans="13:14" x14ac:dyDescent="0.25">
      <c r="M390">
        <v>2952</v>
      </c>
      <c r="N390">
        <v>2134000</v>
      </c>
    </row>
    <row r="391" spans="13:14" x14ac:dyDescent="0.25">
      <c r="M391">
        <v>1246</v>
      </c>
      <c r="N391">
        <v>392000</v>
      </c>
    </row>
    <row r="392" spans="13:14" x14ac:dyDescent="0.25">
      <c r="M392">
        <v>1425</v>
      </c>
      <c r="N392">
        <v>1750000</v>
      </c>
    </row>
    <row r="393" spans="13:14" x14ac:dyDescent="0.25">
      <c r="M393">
        <v>1925</v>
      </c>
      <c r="N393">
        <v>265000</v>
      </c>
    </row>
    <row r="394" spans="13:14" x14ac:dyDescent="0.25">
      <c r="M394">
        <v>2250</v>
      </c>
      <c r="N394">
        <v>805000</v>
      </c>
    </row>
    <row r="395" spans="13:14" x14ac:dyDescent="0.25">
      <c r="M395">
        <v>1635</v>
      </c>
      <c r="N395">
        <v>302400</v>
      </c>
    </row>
    <row r="396" spans="13:14" x14ac:dyDescent="0.25">
      <c r="M396">
        <v>2324</v>
      </c>
      <c r="N396">
        <v>295000</v>
      </c>
    </row>
    <row r="397" spans="13:14" x14ac:dyDescent="0.25">
      <c r="M397">
        <v>2600</v>
      </c>
      <c r="N397">
        <v>480000</v>
      </c>
    </row>
    <row r="398" spans="13:14" x14ac:dyDescent="0.25">
      <c r="M398">
        <v>2100</v>
      </c>
      <c r="N398">
        <v>700000</v>
      </c>
    </row>
    <row r="399" spans="13:14" x14ac:dyDescent="0.25">
      <c r="M399">
        <v>2248</v>
      </c>
      <c r="N399">
        <v>580000</v>
      </c>
    </row>
    <row r="400" spans="13:14" x14ac:dyDescent="0.25">
      <c r="M400">
        <v>1216</v>
      </c>
      <c r="N400">
        <v>370000</v>
      </c>
    </row>
    <row r="401" spans="13:14" x14ac:dyDescent="0.25">
      <c r="M401">
        <v>1920</v>
      </c>
      <c r="N401">
        <v>612000</v>
      </c>
    </row>
    <row r="402" spans="13:14" x14ac:dyDescent="0.25">
      <c r="M402">
        <v>6180</v>
      </c>
      <c r="N402">
        <v>1150000</v>
      </c>
    </row>
    <row r="403" spans="13:14" x14ac:dyDescent="0.25">
      <c r="M403">
        <v>1880</v>
      </c>
      <c r="N403">
        <v>648000</v>
      </c>
    </row>
    <row r="404" spans="13:14" x14ac:dyDescent="0.25">
      <c r="M404">
        <v>2543</v>
      </c>
      <c r="N404">
        <v>1350000</v>
      </c>
    </row>
    <row r="405" spans="13:14" x14ac:dyDescent="0.25">
      <c r="M405">
        <v>1728</v>
      </c>
      <c r="N405">
        <v>725000</v>
      </c>
    </row>
    <row r="406" spans="13:14" x14ac:dyDescent="0.25">
      <c r="M406">
        <v>3350</v>
      </c>
      <c r="N406">
        <v>707000</v>
      </c>
    </row>
    <row r="407" spans="13:14" x14ac:dyDescent="0.25">
      <c r="M407">
        <v>1206</v>
      </c>
      <c r="N407">
        <v>240000</v>
      </c>
    </row>
    <row r="408" spans="13:14" x14ac:dyDescent="0.25">
      <c r="M408">
        <v>2440</v>
      </c>
      <c r="N408">
        <v>596500</v>
      </c>
    </row>
    <row r="409" spans="13:14" x14ac:dyDescent="0.25">
      <c r="M409">
        <v>3600</v>
      </c>
      <c r="N409">
        <v>325000</v>
      </c>
    </row>
    <row r="410" spans="13:14" x14ac:dyDescent="0.25">
      <c r="M410">
        <v>2771</v>
      </c>
      <c r="N410">
        <v>910000</v>
      </c>
    </row>
    <row r="411" spans="13:14" x14ac:dyDescent="0.25">
      <c r="M411">
        <v>2520</v>
      </c>
      <c r="N411">
        <v>825000</v>
      </c>
    </row>
    <row r="412" spans="13:14" x14ac:dyDescent="0.25">
      <c r="M412">
        <v>4000</v>
      </c>
      <c r="N412">
        <v>620000</v>
      </c>
    </row>
    <row r="413" spans="13:14" x14ac:dyDescent="0.25">
      <c r="M413">
        <v>1684</v>
      </c>
      <c r="N413">
        <v>900000</v>
      </c>
    </row>
    <row r="414" spans="13:14" x14ac:dyDescent="0.25">
      <c r="M414">
        <v>1372</v>
      </c>
      <c r="N414">
        <v>400000</v>
      </c>
    </row>
    <row r="415" spans="13:14" x14ac:dyDescent="0.25">
      <c r="M415">
        <v>990</v>
      </c>
      <c r="N415">
        <v>980000</v>
      </c>
    </row>
    <row r="416" spans="13:14" x14ac:dyDescent="0.25">
      <c r="M416">
        <v>2100</v>
      </c>
      <c r="N416">
        <v>250000</v>
      </c>
    </row>
    <row r="417" spans="13:14" x14ac:dyDescent="0.25">
      <c r="M417">
        <v>2703</v>
      </c>
      <c r="N417">
        <v>495000</v>
      </c>
    </row>
    <row r="418" spans="13:14" x14ac:dyDescent="0.25">
      <c r="M418">
        <v>1440</v>
      </c>
      <c r="N418">
        <v>460000</v>
      </c>
    </row>
    <row r="419" spans="13:14" x14ac:dyDescent="0.25">
      <c r="M419">
        <v>1496</v>
      </c>
      <c r="N419">
        <v>715000</v>
      </c>
    </row>
    <row r="420" spans="13:14" x14ac:dyDescent="0.25">
      <c r="M420">
        <v>1922</v>
      </c>
      <c r="N420">
        <v>385000</v>
      </c>
    </row>
    <row r="421" spans="13:14" x14ac:dyDescent="0.25">
      <c r="M421">
        <v>2324</v>
      </c>
      <c r="N421">
        <v>435000</v>
      </c>
    </row>
    <row r="422" spans="13:14" x14ac:dyDescent="0.25">
      <c r="M422">
        <v>1756</v>
      </c>
      <c r="N422">
        <v>370000</v>
      </c>
    </row>
    <row r="423" spans="13:14" x14ac:dyDescent="0.25">
      <c r="M423">
        <v>1594</v>
      </c>
      <c r="N423">
        <v>283000</v>
      </c>
    </row>
    <row r="424" spans="13:14" x14ac:dyDescent="0.25">
      <c r="M424">
        <v>1320</v>
      </c>
      <c r="N424">
        <v>170000</v>
      </c>
    </row>
    <row r="425" spans="13:14" x14ac:dyDescent="0.25">
      <c r="M425">
        <v>2580</v>
      </c>
      <c r="N425">
        <v>630000</v>
      </c>
    </row>
    <row r="426" spans="13:14" x14ac:dyDescent="0.25">
      <c r="M426">
        <v>2766</v>
      </c>
      <c r="N426">
        <v>470000</v>
      </c>
    </row>
    <row r="427" spans="13:14" x14ac:dyDescent="0.25">
      <c r="M427">
        <v>1184</v>
      </c>
      <c r="N427">
        <v>350000</v>
      </c>
    </row>
    <row r="428" spans="13:14" x14ac:dyDescent="0.25">
      <c r="M428">
        <v>1157</v>
      </c>
      <c r="N428">
        <v>770000</v>
      </c>
    </row>
    <row r="429" spans="13:14" x14ac:dyDescent="0.25">
      <c r="M429">
        <v>1392</v>
      </c>
      <c r="N429">
        <v>305910</v>
      </c>
    </row>
    <row r="430" spans="13:14" x14ac:dyDescent="0.25">
      <c r="M430">
        <v>1204</v>
      </c>
      <c r="N430">
        <v>785000</v>
      </c>
    </row>
    <row r="431" spans="13:14" x14ac:dyDescent="0.25">
      <c r="M431">
        <v>1785</v>
      </c>
      <c r="N431">
        <v>515000</v>
      </c>
    </row>
    <row r="432" spans="13:14" x14ac:dyDescent="0.25">
      <c r="M432">
        <v>1568</v>
      </c>
      <c r="N432">
        <v>660000</v>
      </c>
    </row>
    <row r="433" spans="13:14" x14ac:dyDescent="0.25">
      <c r="M433">
        <v>2733</v>
      </c>
      <c r="N433">
        <v>800000</v>
      </c>
    </row>
    <row r="434" spans="13:14" x14ac:dyDescent="0.25">
      <c r="M434">
        <v>1332</v>
      </c>
      <c r="N434">
        <v>535000</v>
      </c>
    </row>
    <row r="435" spans="13:14" x14ac:dyDescent="0.25">
      <c r="M435">
        <v>2200</v>
      </c>
      <c r="N435">
        <v>815000</v>
      </c>
    </row>
    <row r="436" spans="13:14" x14ac:dyDescent="0.25">
      <c r="M436">
        <v>5600</v>
      </c>
      <c r="N436">
        <v>580000</v>
      </c>
    </row>
    <row r="437" spans="13:14" x14ac:dyDescent="0.25">
      <c r="M437">
        <v>1620</v>
      </c>
      <c r="N437">
        <v>280000</v>
      </c>
    </row>
    <row r="438" spans="13:14" x14ac:dyDescent="0.25">
      <c r="M438">
        <v>3312</v>
      </c>
      <c r="N438">
        <v>439900</v>
      </c>
    </row>
    <row r="439" spans="13:14" x14ac:dyDescent="0.25">
      <c r="M439">
        <v>1492</v>
      </c>
      <c r="N439">
        <v>1750000</v>
      </c>
    </row>
    <row r="440" spans="13:14" x14ac:dyDescent="0.25">
      <c r="M440">
        <v>1328</v>
      </c>
      <c r="N440">
        <v>240000</v>
      </c>
    </row>
    <row r="441" spans="13:14" x14ac:dyDescent="0.25">
      <c r="M441">
        <v>1380</v>
      </c>
      <c r="N441">
        <v>370000</v>
      </c>
    </row>
    <row r="442" spans="13:14" x14ac:dyDescent="0.25">
      <c r="M442">
        <v>676</v>
      </c>
      <c r="N442">
        <v>149500</v>
      </c>
    </row>
    <row r="443" spans="13:14" x14ac:dyDescent="0.25">
      <c r="M443">
        <v>2200</v>
      </c>
      <c r="N443">
        <v>400000</v>
      </c>
    </row>
    <row r="444" spans="13:14" x14ac:dyDescent="0.25">
      <c r="M444">
        <v>1920</v>
      </c>
      <c r="N444">
        <v>1145000</v>
      </c>
    </row>
    <row r="445" spans="13:14" x14ac:dyDescent="0.25">
      <c r="M445">
        <v>1440</v>
      </c>
      <c r="N445">
        <v>790000</v>
      </c>
    </row>
    <row r="446" spans="13:14" x14ac:dyDescent="0.25">
      <c r="M446">
        <v>2420</v>
      </c>
      <c r="N446">
        <v>435000</v>
      </c>
    </row>
    <row r="447" spans="13:14" x14ac:dyDescent="0.25">
      <c r="M447">
        <v>1184</v>
      </c>
      <c r="N447">
        <v>383500</v>
      </c>
    </row>
    <row r="448" spans="13:14" x14ac:dyDescent="0.25">
      <c r="M448">
        <v>1036</v>
      </c>
      <c r="N448">
        <v>375000</v>
      </c>
    </row>
    <row r="449" spans="13:14" x14ac:dyDescent="0.25">
      <c r="M449">
        <v>1226</v>
      </c>
      <c r="N449">
        <v>315000</v>
      </c>
    </row>
    <row r="450" spans="13:14" x14ac:dyDescent="0.25">
      <c r="M450">
        <v>1360</v>
      </c>
      <c r="N450">
        <v>655000</v>
      </c>
    </row>
    <row r="451" spans="13:14" x14ac:dyDescent="0.25">
      <c r="M451">
        <v>2808</v>
      </c>
      <c r="N451">
        <v>829837</v>
      </c>
    </row>
    <row r="452" spans="13:14" x14ac:dyDescent="0.25">
      <c r="M452">
        <v>3040</v>
      </c>
      <c r="N452">
        <v>1540000</v>
      </c>
    </row>
    <row r="453" spans="13:14" x14ac:dyDescent="0.25">
      <c r="M453">
        <v>2750</v>
      </c>
      <c r="N453">
        <v>915000</v>
      </c>
    </row>
    <row r="454" spans="13:14" x14ac:dyDescent="0.25">
      <c r="M454">
        <v>1845</v>
      </c>
      <c r="N454">
        <v>391400</v>
      </c>
    </row>
    <row r="455" spans="13:14" x14ac:dyDescent="0.25">
      <c r="M455">
        <v>2088</v>
      </c>
      <c r="N455">
        <v>725000</v>
      </c>
    </row>
    <row r="456" spans="13:14" x14ac:dyDescent="0.25">
      <c r="M456">
        <v>1296</v>
      </c>
      <c r="N456">
        <v>306662</v>
      </c>
    </row>
    <row r="457" spans="13:14" x14ac:dyDescent="0.25">
      <c r="M457">
        <v>1920</v>
      </c>
      <c r="N457">
        <v>338000</v>
      </c>
    </row>
    <row r="458" spans="13:14" x14ac:dyDescent="0.25">
      <c r="M458">
        <v>1230</v>
      </c>
      <c r="N458">
        <v>500000</v>
      </c>
    </row>
    <row r="459" spans="13:14" x14ac:dyDescent="0.25">
      <c r="M459">
        <v>1920</v>
      </c>
      <c r="N459">
        <v>305000</v>
      </c>
    </row>
    <row r="460" spans="13:14" x14ac:dyDescent="0.25">
      <c r="M460">
        <v>2610</v>
      </c>
      <c r="N460">
        <v>413373</v>
      </c>
    </row>
    <row r="461" spans="13:14" x14ac:dyDescent="0.25">
      <c r="M461">
        <v>1560</v>
      </c>
      <c r="N461">
        <v>465000</v>
      </c>
    </row>
    <row r="462" spans="13:14" x14ac:dyDescent="0.25">
      <c r="M462">
        <v>1500</v>
      </c>
      <c r="N462">
        <v>232206</v>
      </c>
    </row>
    <row r="463" spans="13:14" x14ac:dyDescent="0.25">
      <c r="M463">
        <v>1575</v>
      </c>
      <c r="N463">
        <v>900000</v>
      </c>
    </row>
    <row r="464" spans="13:14" x14ac:dyDescent="0.25">
      <c r="M464">
        <v>1890</v>
      </c>
      <c r="N464">
        <v>410000</v>
      </c>
    </row>
    <row r="465" spans="13:14" x14ac:dyDescent="0.25">
      <c r="M465">
        <v>2760</v>
      </c>
      <c r="N465">
        <v>607700</v>
      </c>
    </row>
    <row r="466" spans="13:14" x14ac:dyDescent="0.25">
      <c r="M466">
        <v>4050</v>
      </c>
      <c r="N466">
        <v>1200000</v>
      </c>
    </row>
    <row r="467" spans="13:14" x14ac:dyDescent="0.25">
      <c r="M467">
        <v>2160</v>
      </c>
      <c r="N467">
        <v>955000</v>
      </c>
    </row>
    <row r="468" spans="13:14" x14ac:dyDescent="0.25">
      <c r="M468">
        <v>1140</v>
      </c>
      <c r="N468">
        <v>330000</v>
      </c>
    </row>
    <row r="469" spans="13:14" x14ac:dyDescent="0.25">
      <c r="M469">
        <v>2598</v>
      </c>
      <c r="N469">
        <v>685000</v>
      </c>
    </row>
    <row r="470" spans="13:14" x14ac:dyDescent="0.25">
      <c r="M470">
        <v>7000</v>
      </c>
      <c r="N470">
        <v>650000</v>
      </c>
    </row>
    <row r="471" spans="13:14" x14ac:dyDescent="0.25">
      <c r="M471">
        <v>2367</v>
      </c>
      <c r="N471">
        <v>1175000</v>
      </c>
    </row>
    <row r="472" spans="13:14" x14ac:dyDescent="0.25">
      <c r="M472">
        <v>1280</v>
      </c>
      <c r="N472">
        <v>495593</v>
      </c>
    </row>
    <row r="473" spans="13:14" x14ac:dyDescent="0.25">
      <c r="M473">
        <v>1320</v>
      </c>
      <c r="N473">
        <v>439000</v>
      </c>
    </row>
    <row r="474" spans="13:14" x14ac:dyDescent="0.25">
      <c r="M474">
        <v>1800</v>
      </c>
      <c r="N474">
        <v>550000</v>
      </c>
    </row>
    <row r="475" spans="13:14" x14ac:dyDescent="0.25">
      <c r="M475">
        <v>4530</v>
      </c>
      <c r="N475">
        <v>125000</v>
      </c>
    </row>
    <row r="476" spans="13:14" x14ac:dyDescent="0.25">
      <c r="M476">
        <v>1290</v>
      </c>
      <c r="N476">
        <v>410000</v>
      </c>
    </row>
    <row r="477" spans="13:14" x14ac:dyDescent="0.25">
      <c r="M477">
        <v>1580</v>
      </c>
      <c r="N477">
        <v>602000</v>
      </c>
    </row>
    <row r="478" spans="13:14" x14ac:dyDescent="0.25">
      <c r="M478">
        <v>2400</v>
      </c>
      <c r="N478">
        <v>1450000</v>
      </c>
    </row>
    <row r="479" spans="13:14" x14ac:dyDescent="0.25">
      <c r="M479">
        <v>3000</v>
      </c>
      <c r="N479">
        <v>1320000</v>
      </c>
    </row>
    <row r="480" spans="13:14" x14ac:dyDescent="0.25">
      <c r="M480">
        <v>1630</v>
      </c>
      <c r="N480">
        <v>419000</v>
      </c>
    </row>
    <row r="481" spans="13:14" x14ac:dyDescent="0.25">
      <c r="M481">
        <v>3600</v>
      </c>
      <c r="N481">
        <v>247000</v>
      </c>
    </row>
    <row r="482" spans="13:14" x14ac:dyDescent="0.25">
      <c r="M482">
        <v>3052</v>
      </c>
      <c r="N482">
        <v>620000</v>
      </c>
    </row>
    <row r="483" spans="13:14" x14ac:dyDescent="0.25">
      <c r="M483">
        <v>3120</v>
      </c>
      <c r="N483">
        <v>6520000</v>
      </c>
    </row>
    <row r="484" spans="13:14" x14ac:dyDescent="0.25">
      <c r="M484">
        <v>2700</v>
      </c>
      <c r="N484">
        <v>196000</v>
      </c>
    </row>
    <row r="485" spans="13:14" x14ac:dyDescent="0.25">
      <c r="M485">
        <v>2425</v>
      </c>
      <c r="N485">
        <v>1280000</v>
      </c>
    </row>
    <row r="486" spans="13:14" x14ac:dyDescent="0.25">
      <c r="M486">
        <v>1698</v>
      </c>
      <c r="N486">
        <v>485000</v>
      </c>
    </row>
    <row r="487" spans="13:14" x14ac:dyDescent="0.25">
      <c r="M487">
        <v>2100</v>
      </c>
      <c r="N487">
        <v>425000</v>
      </c>
    </row>
    <row r="488" spans="13:14" x14ac:dyDescent="0.25">
      <c r="M488">
        <v>2808</v>
      </c>
      <c r="N488">
        <v>900000</v>
      </c>
    </row>
    <row r="489" spans="13:14" x14ac:dyDescent="0.25">
      <c r="M489">
        <v>868</v>
      </c>
      <c r="N489">
        <v>360000</v>
      </c>
    </row>
    <row r="490" spans="13:14" x14ac:dyDescent="0.25">
      <c r="M490">
        <v>2158</v>
      </c>
      <c r="N490">
        <v>990000</v>
      </c>
    </row>
    <row r="491" spans="13:14" x14ac:dyDescent="0.25">
      <c r="M491">
        <v>1759</v>
      </c>
      <c r="N491">
        <v>520000</v>
      </c>
    </row>
    <row r="492" spans="13:14" x14ac:dyDescent="0.25">
      <c r="M492">
        <v>2600</v>
      </c>
      <c r="N492">
        <v>510000</v>
      </c>
    </row>
    <row r="493" spans="13:14" x14ac:dyDescent="0.25">
      <c r="M493">
        <v>2104</v>
      </c>
      <c r="N493">
        <v>2289000</v>
      </c>
    </row>
    <row r="494" spans="13:14" x14ac:dyDescent="0.25">
      <c r="M494">
        <v>1560</v>
      </c>
      <c r="N494">
        <v>200000</v>
      </c>
    </row>
    <row r="495" spans="13:14" x14ac:dyDescent="0.25">
      <c r="M495">
        <v>1215</v>
      </c>
      <c r="N495">
        <v>380000</v>
      </c>
    </row>
    <row r="496" spans="13:14" x14ac:dyDescent="0.25">
      <c r="M496">
        <v>1880</v>
      </c>
      <c r="N496">
        <v>485000</v>
      </c>
    </row>
    <row r="497" spans="13:14" x14ac:dyDescent="0.25">
      <c r="M497">
        <v>2457</v>
      </c>
      <c r="N497">
        <v>939000</v>
      </c>
    </row>
    <row r="498" spans="13:14" x14ac:dyDescent="0.25">
      <c r="M498">
        <v>2020</v>
      </c>
      <c r="N498">
        <v>645000</v>
      </c>
    </row>
    <row r="499" spans="13:14" x14ac:dyDescent="0.25">
      <c r="M499">
        <v>1278</v>
      </c>
      <c r="N499">
        <v>500000</v>
      </c>
    </row>
    <row r="500" spans="13:14" x14ac:dyDescent="0.25">
      <c r="M500">
        <v>1718</v>
      </c>
      <c r="N500">
        <v>410000</v>
      </c>
    </row>
    <row r="501" spans="13:14" x14ac:dyDescent="0.25">
      <c r="M501">
        <v>980</v>
      </c>
      <c r="N501">
        <v>509000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77"/>
  <sheetViews>
    <sheetView showGridLines="0" tabSelected="1" topLeftCell="A52" zoomScale="85" zoomScaleNormal="85" workbookViewId="0">
      <selection activeCell="O70" sqref="O70:P70"/>
    </sheetView>
  </sheetViews>
  <sheetFormatPr defaultRowHeight="15" x14ac:dyDescent="0.25"/>
  <cols>
    <col min="1" max="1" width="2.7109375" customWidth="1"/>
    <col min="2" max="2" width="14.7109375" customWidth="1"/>
    <col min="3" max="26" width="11.7109375" customWidth="1"/>
  </cols>
  <sheetData>
    <row r="1" spans="2:22" ht="6" customHeight="1" x14ac:dyDescent="0.25"/>
    <row r="2" spans="2:22" ht="51.95" customHeight="1" x14ac:dyDescent="0.25">
      <c r="B2" s="16" t="s">
        <v>43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2:22" ht="27.95" customHeight="1" x14ac:dyDescent="0.25">
      <c r="B3" s="17" t="s">
        <v>44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2:22" ht="8.1" customHeight="1" x14ac:dyDescent="0.25"/>
    <row r="5" spans="2:22" ht="20.100000000000001" customHeight="1" x14ac:dyDescent="0.25">
      <c r="B5" s="18" t="s">
        <v>45</v>
      </c>
      <c r="C5" s="18"/>
      <c r="D5" s="18"/>
      <c r="E5" s="18"/>
      <c r="F5" s="18"/>
      <c r="G5" s="18"/>
      <c r="H5" s="18"/>
      <c r="I5" s="18"/>
      <c r="J5" s="18"/>
      <c r="K5" s="18"/>
      <c r="M5" s="18" t="s">
        <v>48</v>
      </c>
      <c r="N5" s="18"/>
      <c r="O5" s="18"/>
      <c r="P5" s="18"/>
      <c r="Q5" s="18"/>
      <c r="R5" s="18"/>
      <c r="S5" s="18"/>
      <c r="T5" s="18"/>
      <c r="U5" s="18"/>
      <c r="V5" s="18"/>
    </row>
    <row r="6" spans="2:22" ht="20.100000000000001" customHeight="1" x14ac:dyDescent="0.25"/>
    <row r="7" spans="2:22" ht="20.100000000000001" customHeight="1" x14ac:dyDescent="0.25"/>
    <row r="8" spans="2:22" ht="26.1" customHeight="1" x14ac:dyDescent="0.25">
      <c r="B8" s="3" t="s">
        <v>46</v>
      </c>
      <c r="F8" s="4" t="s">
        <v>1</v>
      </c>
      <c r="G8" s="5" t="s">
        <v>47</v>
      </c>
      <c r="Q8" s="3" t="s">
        <v>49</v>
      </c>
      <c r="R8" s="4" t="s">
        <v>1</v>
      </c>
      <c r="S8" s="5" t="s">
        <v>47</v>
      </c>
    </row>
    <row r="29" spans="2:22" x14ac:dyDescent="0.25">
      <c r="B29" s="18" t="s">
        <v>50</v>
      </c>
      <c r="C29" s="18"/>
      <c r="D29" s="18"/>
      <c r="E29" s="18"/>
      <c r="F29" s="18"/>
      <c r="G29" s="18"/>
      <c r="H29" s="18"/>
      <c r="I29" s="18"/>
      <c r="J29" s="18"/>
      <c r="K29" s="18"/>
      <c r="M29" s="18" t="s">
        <v>51</v>
      </c>
      <c r="N29" s="18"/>
      <c r="O29" s="18"/>
      <c r="P29" s="18"/>
      <c r="Q29" s="18"/>
      <c r="R29" s="18"/>
      <c r="S29" s="18"/>
      <c r="T29" s="18"/>
      <c r="U29" s="18"/>
      <c r="V29" s="18"/>
    </row>
    <row r="30" spans="2:22" ht="20.100000000000001" customHeight="1" x14ac:dyDescent="0.25"/>
    <row r="31" spans="2:22" ht="20.100000000000001" customHeight="1" x14ac:dyDescent="0.25"/>
    <row r="32" spans="2:22" ht="26.1" customHeight="1" x14ac:dyDescent="0.25">
      <c r="E32" s="3" t="s">
        <v>49</v>
      </c>
      <c r="F32" s="4" t="s">
        <v>1</v>
      </c>
      <c r="G32" s="5" t="s">
        <v>47</v>
      </c>
      <c r="Q32" s="3" t="s">
        <v>46</v>
      </c>
      <c r="R32" s="4" t="s">
        <v>1</v>
      </c>
      <c r="S32" s="5" t="s">
        <v>47</v>
      </c>
    </row>
    <row r="55" spans="2:22" ht="8.1" customHeight="1" x14ac:dyDescent="0.25"/>
    <row r="56" spans="2:22" ht="27.95" customHeight="1" x14ac:dyDescent="0.25">
      <c r="B56" s="6" t="s">
        <v>52</v>
      </c>
      <c r="C56" s="7">
        <v>1381805</v>
      </c>
      <c r="D56" s="6" t="s">
        <v>53</v>
      </c>
      <c r="E56" s="8">
        <v>550000</v>
      </c>
      <c r="F56" s="6" t="s">
        <v>54</v>
      </c>
      <c r="G56" s="8">
        <v>2001815558835</v>
      </c>
      <c r="H56" s="6" t="s">
        <v>55</v>
      </c>
      <c r="I56" s="9" t="s">
        <v>8</v>
      </c>
    </row>
    <row r="58" spans="2:22" ht="8.1" customHeight="1" x14ac:dyDescent="0.25"/>
    <row r="59" spans="2:22" ht="39.950000000000003" customHeight="1" x14ac:dyDescent="0.25">
      <c r="B59" s="19" t="s">
        <v>56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spans="2:22" ht="21.95" customHeight="1" x14ac:dyDescent="0.25">
      <c r="B60" s="20" t="s">
        <v>57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spans="2:22" ht="20.100000000000001" customHeight="1" x14ac:dyDescent="0.25">
      <c r="N61" s="10" t="s">
        <v>58</v>
      </c>
      <c r="O61" s="10" t="s">
        <v>59</v>
      </c>
      <c r="P61" s="10" t="s">
        <v>60</v>
      </c>
    </row>
    <row r="62" spans="2:22" ht="20.100000000000001" customHeight="1" x14ac:dyDescent="0.25"/>
    <row r="63" spans="2:22" x14ac:dyDescent="0.25">
      <c r="N63" s="11" t="s">
        <v>41</v>
      </c>
      <c r="O63" s="12">
        <v>0.40581186946609998</v>
      </c>
      <c r="P63" s="13" t="s">
        <v>61</v>
      </c>
    </row>
    <row r="64" spans="2:22" x14ac:dyDescent="0.25">
      <c r="N64" s="11" t="s">
        <v>62</v>
      </c>
      <c r="O64" s="12">
        <v>0.28431374912650348</v>
      </c>
      <c r="P64" s="14" t="s">
        <v>63</v>
      </c>
    </row>
    <row r="65" spans="14:16" x14ac:dyDescent="0.25">
      <c r="N65" s="11" t="s">
        <v>64</v>
      </c>
      <c r="O65" s="12">
        <v>0.25259619706606479</v>
      </c>
      <c r="P65" s="14" t="s">
        <v>63</v>
      </c>
    </row>
    <row r="66" spans="14:16" x14ac:dyDescent="0.25">
      <c r="N66" s="11" t="s">
        <v>65</v>
      </c>
      <c r="O66" s="12">
        <v>-0.1354054577550472</v>
      </c>
      <c r="P66" s="14" t="s">
        <v>63</v>
      </c>
    </row>
    <row r="67" spans="14:16" x14ac:dyDescent="0.25">
      <c r="N67" s="11" t="s">
        <v>66</v>
      </c>
      <c r="O67" s="12">
        <v>2.1990786272897571E-2</v>
      </c>
      <c r="P67" s="14" t="s">
        <v>63</v>
      </c>
    </row>
    <row r="69" spans="14:16" x14ac:dyDescent="0.25">
      <c r="N69" s="21" t="s">
        <v>67</v>
      </c>
      <c r="O69" s="21"/>
      <c r="P69" s="21"/>
    </row>
    <row r="70" spans="14:16" x14ac:dyDescent="0.25">
      <c r="N70" s="15" t="s">
        <v>68</v>
      </c>
      <c r="O70" s="22" t="s">
        <v>42</v>
      </c>
      <c r="P70" s="22"/>
    </row>
    <row r="71" spans="14:16" x14ac:dyDescent="0.25">
      <c r="N71" s="15" t="s">
        <v>69</v>
      </c>
      <c r="O71" s="22" t="s">
        <v>41</v>
      </c>
      <c r="P71" s="22"/>
    </row>
    <row r="72" spans="14:16" x14ac:dyDescent="0.25">
      <c r="N72" s="15" t="s">
        <v>70</v>
      </c>
      <c r="O72" s="23">
        <v>0.40579999999999999</v>
      </c>
      <c r="P72" s="23"/>
    </row>
    <row r="73" spans="14:16" x14ac:dyDescent="0.25">
      <c r="N73" s="15" t="s">
        <v>71</v>
      </c>
      <c r="O73" s="23">
        <v>0.16470000000000001</v>
      </c>
      <c r="P73" s="23"/>
    </row>
    <row r="74" spans="14:16" x14ac:dyDescent="0.25">
      <c r="N74" s="15" t="s">
        <v>72</v>
      </c>
      <c r="O74" s="23">
        <v>232.52</v>
      </c>
      <c r="P74" s="23"/>
    </row>
    <row r="75" spans="14:16" x14ac:dyDescent="0.25">
      <c r="N75" s="15" t="s">
        <v>73</v>
      </c>
      <c r="O75" s="23">
        <v>181460.42</v>
      </c>
      <c r="P75" s="23"/>
    </row>
    <row r="76" spans="14:16" x14ac:dyDescent="0.25">
      <c r="N76" s="15" t="s">
        <v>74</v>
      </c>
      <c r="O76" s="23">
        <v>0</v>
      </c>
      <c r="P76" s="23"/>
    </row>
    <row r="77" spans="14:16" x14ac:dyDescent="0.25">
      <c r="N77" s="15" t="s">
        <v>75</v>
      </c>
      <c r="O77" s="22">
        <v>500</v>
      </c>
      <c r="P77" s="22"/>
    </row>
  </sheetData>
  <mergeCells count="17">
    <mergeCell ref="O77:P77"/>
    <mergeCell ref="O72:P72"/>
    <mergeCell ref="O73:P73"/>
    <mergeCell ref="O74:P74"/>
    <mergeCell ref="O75:P75"/>
    <mergeCell ref="O76:P76"/>
    <mergeCell ref="B59:V59"/>
    <mergeCell ref="B60:V60"/>
    <mergeCell ref="N69:P69"/>
    <mergeCell ref="O70:P70"/>
    <mergeCell ref="O71:P71"/>
    <mergeCell ref="B2:V2"/>
    <mergeCell ref="B3:V3"/>
    <mergeCell ref="B5:K5"/>
    <mergeCell ref="M5:V5"/>
    <mergeCell ref="B29:K29"/>
    <mergeCell ref="M29:V29"/>
  </mergeCells>
  <dataValidations count="4">
    <dataValidation type="list" allowBlank="1" showInputMessage="1" showErrorMessage="1" promptTitle="Q1 Filter" prompt="Select a building class (or All)" sqref="F8" xr:uid="{00000000-0002-0000-0200-000000000000}">
      <formula1>"All,10 COOPS - ELEVATOR APARTMEN,13 CONDOS - ELEVATOR APARTME,01 ONE FAMILY DWELLINGS,01 ONE FAMILY HOMES,02 TWO FAMILY HOMES,02 TWO FAMILY DWELLINGS"</formula1>
    </dataValidation>
    <dataValidation type="list" allowBlank="1" showInputMessage="1" showErrorMessage="1" promptTitle="Q2 Filter" prompt="Select a borough (or All)" sqref="R8" xr:uid="{00000000-0002-0000-0200-000001000000}">
      <formula1>"All,Manhattan,Bronx,Brooklyn,Queens,Staten Island"</formula1>
    </dataValidation>
    <dataValidation type="list" allowBlank="1" showInputMessage="1" showErrorMessage="1" promptTitle="Q3 Filter" prompt="Select a borough (or All)" sqref="F32" xr:uid="{00000000-0002-0000-0200-000002000000}">
      <formula1>"All,Manhattan,Bronx,Brooklyn,Queens,Staten Island"</formula1>
    </dataValidation>
    <dataValidation type="list" allowBlank="1" showInputMessage="1" showErrorMessage="1" promptTitle="Q4 Filter" prompt="Select a building class (or All)" sqref="R32" xr:uid="{00000000-0002-0000-0200-000003000000}">
      <formula1>"All,10 COOPS - ELEVATOR APARTMEN,13 CONDOS - ELEVATOR APARTME,01 ONE FAMILY DWELLINGS,01 ONE FAMILY HOMES,02 TWO FAMILY HOMES,02 TWO FAMILY DWELLINGS"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/>
  </sheetViews>
  <sheetFormatPr defaultRowHeight="15" x14ac:dyDescent="0.25"/>
  <cols>
    <col min="1" max="2" width="22.7109375" customWidth="1"/>
    <col min="3" max="6" width="18.7109375" customWidth="1"/>
  </cols>
  <sheetData>
    <row r="1" spans="1:6" x14ac:dyDescent="0.25">
      <c r="A1" s="24" t="s">
        <v>76</v>
      </c>
      <c r="B1" s="24"/>
      <c r="D1" s="24" t="s">
        <v>78</v>
      </c>
      <c r="E1" s="24"/>
    </row>
    <row r="2" spans="1:6" x14ac:dyDescent="0.25">
      <c r="A2" s="2" t="s">
        <v>34</v>
      </c>
      <c r="B2" s="2" t="s">
        <v>77</v>
      </c>
      <c r="D2" s="2" t="s">
        <v>34</v>
      </c>
      <c r="E2" s="2" t="s">
        <v>79</v>
      </c>
    </row>
    <row r="3" spans="1:6" x14ac:dyDescent="0.25">
      <c r="A3" t="s">
        <v>8</v>
      </c>
      <c r="B3">
        <v>860000</v>
      </c>
      <c r="D3" t="s">
        <v>8</v>
      </c>
      <c r="E3">
        <v>1140457689496</v>
      </c>
    </row>
    <row r="4" spans="1:6" x14ac:dyDescent="0.25">
      <c r="A4" t="s">
        <v>9</v>
      </c>
      <c r="B4">
        <v>400000</v>
      </c>
      <c r="D4" t="s">
        <v>9</v>
      </c>
      <c r="E4">
        <v>98338483764</v>
      </c>
    </row>
    <row r="5" spans="1:6" x14ac:dyDescent="0.25">
      <c r="A5" t="s">
        <v>10</v>
      </c>
      <c r="B5">
        <v>600000</v>
      </c>
      <c r="D5" t="s">
        <v>10</v>
      </c>
      <c r="E5">
        <v>378370296962</v>
      </c>
    </row>
    <row r="6" spans="1:6" x14ac:dyDescent="0.25">
      <c r="A6" t="s">
        <v>11</v>
      </c>
      <c r="B6">
        <v>455800</v>
      </c>
      <c r="D6" t="s">
        <v>11</v>
      </c>
      <c r="E6">
        <v>316330311011</v>
      </c>
    </row>
    <row r="7" spans="1:6" x14ac:dyDescent="0.25">
      <c r="A7" t="s">
        <v>12</v>
      </c>
      <c r="B7">
        <v>440000</v>
      </c>
      <c r="D7" t="s">
        <v>12</v>
      </c>
      <c r="E7">
        <v>68318777602</v>
      </c>
    </row>
    <row r="9" spans="1:6" x14ac:dyDescent="0.25">
      <c r="A9" s="24" t="s">
        <v>80</v>
      </c>
      <c r="B9" s="24"/>
      <c r="C9" s="24"/>
      <c r="D9" s="24" t="s">
        <v>81</v>
      </c>
      <c r="E9" s="24"/>
      <c r="F9" s="24"/>
    </row>
    <row r="10" spans="1:6" x14ac:dyDescent="0.25">
      <c r="A10" s="2" t="s">
        <v>36</v>
      </c>
      <c r="B10" s="2" t="s">
        <v>37</v>
      </c>
      <c r="D10" s="2" t="s">
        <v>58</v>
      </c>
      <c r="E10" s="2" t="s">
        <v>59</v>
      </c>
      <c r="F10" s="2" t="s">
        <v>82</v>
      </c>
    </row>
    <row r="11" spans="1:6" x14ac:dyDescent="0.25">
      <c r="A11" t="s">
        <v>13</v>
      </c>
      <c r="B11">
        <v>79588</v>
      </c>
      <c r="D11" t="s">
        <v>41</v>
      </c>
      <c r="E11">
        <v>0.40579999999999999</v>
      </c>
      <c r="F11">
        <v>0.16470000000000001</v>
      </c>
    </row>
    <row r="12" spans="1:6" x14ac:dyDescent="0.25">
      <c r="A12" t="s">
        <v>14</v>
      </c>
      <c r="B12">
        <v>89442</v>
      </c>
      <c r="D12" t="s">
        <v>62</v>
      </c>
      <c r="E12">
        <v>0.2843</v>
      </c>
      <c r="F12">
        <v>8.0799999999999997E-2</v>
      </c>
    </row>
    <row r="13" spans="1:6" x14ac:dyDescent="0.25">
      <c r="A13" t="s">
        <v>15</v>
      </c>
      <c r="B13">
        <v>89029</v>
      </c>
      <c r="D13" t="s">
        <v>64</v>
      </c>
      <c r="E13">
        <v>0.25259999999999999</v>
      </c>
      <c r="F13">
        <v>6.3799999999999996E-2</v>
      </c>
    </row>
    <row r="14" spans="1:6" x14ac:dyDescent="0.25">
      <c r="A14" t="s">
        <v>16</v>
      </c>
      <c r="B14">
        <v>81833</v>
      </c>
      <c r="D14" t="s">
        <v>65</v>
      </c>
      <c r="E14">
        <v>-0.13539999999999999</v>
      </c>
      <c r="F14">
        <v>1.83E-2</v>
      </c>
    </row>
    <row r="15" spans="1:6" x14ac:dyDescent="0.25">
      <c r="A15" t="s">
        <v>17</v>
      </c>
      <c r="B15">
        <v>74560</v>
      </c>
      <c r="D15" t="s">
        <v>66</v>
      </c>
      <c r="E15">
        <v>2.1999999999999999E-2</v>
      </c>
      <c r="F15">
        <v>5.0000000000000001E-4</v>
      </c>
    </row>
    <row r="16" spans="1:6" x14ac:dyDescent="0.25">
      <c r="A16" t="s">
        <v>18</v>
      </c>
      <c r="B16">
        <v>59592</v>
      </c>
    </row>
    <row r="17" spans="1:2" x14ac:dyDescent="0.25">
      <c r="A17" t="s">
        <v>19</v>
      </c>
      <c r="B17">
        <v>46861</v>
      </c>
    </row>
    <row r="18" spans="1:2" x14ac:dyDescent="0.25">
      <c r="A18" t="s">
        <v>20</v>
      </c>
      <c r="B18">
        <v>43535</v>
      </c>
    </row>
    <row r="19" spans="1:2" x14ac:dyDescent="0.25">
      <c r="A19" t="s">
        <v>21</v>
      </c>
      <c r="B19">
        <v>47258</v>
      </c>
    </row>
    <row r="20" spans="1:2" x14ac:dyDescent="0.25">
      <c r="A20" t="s">
        <v>22</v>
      </c>
      <c r="B20">
        <v>51606</v>
      </c>
    </row>
    <row r="21" spans="1:2" x14ac:dyDescent="0.25">
      <c r="A21" t="s">
        <v>23</v>
      </c>
      <c r="B21">
        <v>59146</v>
      </c>
    </row>
    <row r="22" spans="1:2" x14ac:dyDescent="0.25">
      <c r="A22" t="s">
        <v>24</v>
      </c>
      <c r="B22">
        <v>59016</v>
      </c>
    </row>
    <row r="23" spans="1:2" x14ac:dyDescent="0.25">
      <c r="A23" t="s">
        <v>25</v>
      </c>
      <c r="B23">
        <v>62063</v>
      </c>
    </row>
    <row r="24" spans="1:2" x14ac:dyDescent="0.25">
      <c r="A24" t="s">
        <v>26</v>
      </c>
      <c r="B24">
        <v>60292</v>
      </c>
    </row>
    <row r="25" spans="1:2" x14ac:dyDescent="0.25">
      <c r="A25" t="s">
        <v>27</v>
      </c>
      <c r="B25">
        <v>60739</v>
      </c>
    </row>
    <row r="26" spans="1:2" x14ac:dyDescent="0.25">
      <c r="A26" t="s">
        <v>28</v>
      </c>
      <c r="B26">
        <v>56711</v>
      </c>
    </row>
    <row r="27" spans="1:2" x14ac:dyDescent="0.25">
      <c r="A27" t="s">
        <v>29</v>
      </c>
      <c r="B27">
        <v>55961</v>
      </c>
    </row>
    <row r="28" spans="1:2" x14ac:dyDescent="0.25">
      <c r="A28" t="s">
        <v>30</v>
      </c>
      <c r="B28">
        <v>43788</v>
      </c>
    </row>
    <row r="29" spans="1:2" x14ac:dyDescent="0.25">
      <c r="A29" t="s">
        <v>31</v>
      </c>
      <c r="B29">
        <v>70829</v>
      </c>
    </row>
    <row r="30" spans="1:2" x14ac:dyDescent="0.25">
      <c r="A30" t="s">
        <v>32</v>
      </c>
      <c r="B30">
        <v>87492</v>
      </c>
    </row>
    <row r="31" spans="1:2" x14ac:dyDescent="0.25">
      <c r="A31" t="s">
        <v>33</v>
      </c>
      <c r="B31">
        <v>102464</v>
      </c>
    </row>
  </sheetData>
  <mergeCells count="4">
    <mergeCell ref="A1:B1"/>
    <mergeCell ref="D1:E1"/>
    <mergeCell ref="A9:C9"/>
    <mergeCell ref="D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LookupData</vt:lpstr>
      <vt:lpstr>ChartSource</vt:lpstr>
      <vt:lpstr>Dashboard</vt:lpstr>
      <vt:lpstr>Data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Ray Emanuel Patalinghug</cp:lastModifiedBy>
  <dcterms:created xsi:type="dcterms:W3CDTF">2026-05-26T18:31:04Z</dcterms:created>
  <dcterms:modified xsi:type="dcterms:W3CDTF">2026-05-26T18:46:31Z</dcterms:modified>
</cp:coreProperties>
</file>